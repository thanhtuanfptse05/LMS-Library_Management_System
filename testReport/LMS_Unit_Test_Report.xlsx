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List" sheetId="2" state="visible" r:id="rId2"/>
    <sheet xmlns:r="http://schemas.openxmlformats.org/officeDocument/2006/relationships" name="Test Report" sheetId="3" state="visible" r:id="rId3"/>
    <sheet xmlns:r="http://schemas.openxmlformats.org/officeDocument/2006/relationships" name="EmailJobTest" sheetId="4" state="visible" r:id="rId4"/>
    <sheet xmlns:r="http://schemas.openxmlformats.org/officeDocument/2006/relationships" name="EmailServiceTest" sheetId="5" state="visible" r:id="rId5"/>
    <sheet xmlns:r="http://schemas.openxmlformats.org/officeDocument/2006/relationships" name="EmailTriggerIntegrationTest" sheetId="6" state="visible" r:id="rId6"/>
    <sheet xmlns:r="http://schemas.openxmlformats.org/officeDocument/2006/relationships" name="EmailWorkerTest" sheetId="7" state="visible" r:id="rId7"/>
    <sheet xmlns:r="http://schemas.openxmlformats.org/officeDocument/2006/relationships" name="BookCopyDAOTest" sheetId="8" state="visible" r:id="rId8"/>
    <sheet xmlns:r="http://schemas.openxmlformats.org/officeDocument/2006/relationships" name="BookCopyIncidentDAOTest" sheetId="9" state="visible" r:id="rId9"/>
    <sheet xmlns:r="http://schemas.openxmlformats.org/officeDocument/2006/relationships" name="BookDAOTest" sheetId="10" state="visible" r:id="rId10"/>
    <sheet xmlns:r="http://schemas.openxmlformats.org/officeDocument/2006/relationships" name="BookImportDAOTest" sheetId="11" state="visible" r:id="rId11"/>
    <sheet xmlns:r="http://schemas.openxmlformats.org/officeDocument/2006/relationships" name="BorrowRecordDAOTest" sheetId="12" state="visible" r:id="rId12"/>
    <sheet xmlns:r="http://schemas.openxmlformats.org/officeDocument/2006/relationships" name="CategoryTagDAOTest" sheetId="13" state="visible" r:id="rId13"/>
    <sheet xmlns:r="http://schemas.openxmlformats.org/officeDocument/2006/relationships" name="FineDAOTest" sheetId="14" state="visible" r:id="rId14"/>
    <sheet xmlns:r="http://schemas.openxmlformats.org/officeDocument/2006/relationships" name="InventoryDAOTest" sheetId="15" state="visible" r:id="rId15"/>
    <sheet xmlns:r="http://schemas.openxmlformats.org/officeDocument/2006/relationships" name="ReservationDAOTest" sheetId="16" state="visible" r:id="rId16"/>
    <sheet xmlns:r="http://schemas.openxmlformats.org/officeDocument/2006/relationships" name="UserDAOTest" sheetId="17" state="visible" r:id="rId17"/>
    <sheet xmlns:r="http://schemas.openxmlformats.org/officeDocument/2006/relationships" name="AiChatbotServiceIntegrationTest" sheetId="18" state="visible" r:id="rId18"/>
    <sheet xmlns:r="http://schemas.openxmlformats.org/officeDocument/2006/relationships" name="AiChatbotServiceUnitTest" sheetId="19" state="visible" r:id="rId19"/>
    <sheet xmlns:r="http://schemas.openxmlformats.org/officeDocument/2006/relationships" name="AiChatbotServletTest" sheetId="20" state="visible" r:id="rId20"/>
    <sheet xmlns:r="http://schemas.openxmlformats.org/officeDocument/2006/relationships" name="BookSuggestionServiceTest" sheetId="21" state="visible" r:id="rId21"/>
    <sheet xmlns:r="http://schemas.openxmlformats.org/officeDocument/2006/relationships" name="F5SystemServletTest" sheetId="22" state="visible" r:id="rId22"/>
    <sheet xmlns:r="http://schemas.openxmlformats.org/officeDocument/2006/relationships" name="OnlineCirculationServiceIntegra" sheetId="23" state="visible" r:id="rId23"/>
    <sheet xmlns:r="http://schemas.openxmlformats.org/officeDocument/2006/relationships" name="OnlineCirculationServiceUnitTes" sheetId="24" state="visible" r:id="rId24"/>
    <sheet xmlns:r="http://schemas.openxmlformats.org/officeDocument/2006/relationships" name="DeskCirculationServiceIntegrati" sheetId="25" state="visible" r:id="rId25"/>
    <sheet xmlns:r="http://schemas.openxmlformats.org/officeDocument/2006/relationships" name="DeskCirculationServiceUnitTest" sheetId="26" state="visible" r:id="rId26"/>
    <sheet xmlns:r="http://schemas.openxmlformats.org/officeDocument/2006/relationships" name="F6SystemServletTest" sheetId="27" state="visible" r:id="rId27"/>
    <sheet xmlns:r="http://schemas.openxmlformats.org/officeDocument/2006/relationships" name="AiConfigTest" sheetId="28" state="visible" r:id="rId28"/>
    <sheet xmlns:r="http://schemas.openxmlformats.org/officeDocument/2006/relationships" name="AiRecommendationServiceTest" sheetId="29" state="visible" r:id="rId29"/>
    <sheet xmlns:r="http://schemas.openxmlformats.org/officeDocument/2006/relationships" name="BookDAOTest_26" sheetId="30" state="visible" r:id="rId30"/>
    <sheet xmlns:r="http://schemas.openxmlformats.org/officeDocument/2006/relationships" name="BookDiscoverySystemTest" sheetId="31" state="visible" r:id="rId31"/>
    <sheet xmlns:r="http://schemas.openxmlformats.org/officeDocument/2006/relationships" name="BookServletsTest" sheetId="32" state="visible" r:id="rId32"/>
    <sheet xmlns:r="http://schemas.openxmlformats.org/officeDocument/2006/relationships" name="RecommendationServletTest" sheetId="33" state="visible" r:id="rId33"/>
    <sheet xmlns:r="http://schemas.openxmlformats.org/officeDocument/2006/relationships" name="AuthServiceTest" sheetId="34" state="visible" r:id="rId34"/>
    <sheet xmlns:r="http://schemas.openxmlformats.org/officeDocument/2006/relationships" name="BookCopyIncidentServiceTest" sheetId="35" state="visible" r:id="rId35"/>
    <sheet xmlns:r="http://schemas.openxmlformats.org/officeDocument/2006/relationships" name="BookCopyServiceTest" sheetId="36" state="visible" r:id="rId36"/>
    <sheet xmlns:r="http://schemas.openxmlformats.org/officeDocument/2006/relationships" name="BookImportServiceTest" sheetId="37" state="visible" r:id="rId37"/>
    <sheet xmlns:r="http://schemas.openxmlformats.org/officeDocument/2006/relationships" name="BookServiceTest" sheetId="38" state="visible" r:id="rId38"/>
    <sheet xmlns:r="http://schemas.openxmlformats.org/officeDocument/2006/relationships" name="CategoryServiceTest" sheetId="39" state="visible" r:id="rId39"/>
    <sheet xmlns:r="http://schemas.openxmlformats.org/officeDocument/2006/relationships" name="InventoryReconciliationServiceT" sheetId="40" state="visible" r:id="rId40"/>
    <sheet xmlns:r="http://schemas.openxmlformats.org/officeDocument/2006/relationships" name="OnlineCirculationServiceTest" sheetId="41" state="visible" r:id="rId41"/>
    <sheet xmlns:r="http://schemas.openxmlformats.org/officeDocument/2006/relationships" name="OverdueProcessorTest" sheetId="42" state="visible" r:id="rId42"/>
    <sheet xmlns:r="http://schemas.openxmlformats.org/officeDocument/2006/relationships" name="ProfileServiceTest" sheetId="43" state="visible" r:id="rId43"/>
    <sheet xmlns:r="http://schemas.openxmlformats.org/officeDocument/2006/relationships" name="ReservationExpirationProcessorT" sheetId="44" state="visible" r:id="rId44"/>
    <sheet xmlns:r="http://schemas.openxmlformats.org/officeDocument/2006/relationships" name="TagServiceTest" sheetId="45" state="visible" r:id="rId45"/>
    <sheet xmlns:r="http://schemas.openxmlformats.org/officeDocument/2006/relationships" name="UserServiceTest" sheetId="46" state="visible" r:id="rId46"/>
    <sheet xmlns:r="http://schemas.openxmlformats.org/officeDocument/2006/relationships" name="SystemConfigServiceTest" sheetId="47" state="visible" r:id="rId47"/>
    <sheet xmlns:r="http://schemas.openxmlformats.org/officeDocument/2006/relationships" name="BookImageStorageTest" sheetId="48" state="visible" r:id="rId48"/>
    <sheet xmlns:r="http://schemas.openxmlformats.org/officeDocument/2006/relationships" name="BookImportWorkbookReaderTest" sheetId="49" state="visible" r:id="rId49"/>
    <sheet xmlns:r="http://schemas.openxmlformats.org/officeDocument/2006/relationships" name="IsbnValidatorTest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8"/>
    </font>
    <font>
      <name val="Arial"/>
      <sz val="8"/>
    </font>
    <font>
      <name val="Arial"/>
      <b val="1"/>
      <color rgb="00FFFFFF"/>
      <sz val="8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FFFFCC"/>
      </patternFill>
    </fill>
    <fill>
      <patternFill patternType="solid">
        <fgColor rgb="0099CCFF"/>
      </patternFill>
    </fill>
    <fill>
      <patternFill patternType="solid">
        <fgColor rgb="00FF99CC"/>
      </patternFill>
    </fill>
    <fill>
      <patternFill patternType="solid">
        <fgColor rgb="00FFFF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pivotButton="0" quotePrefix="0" xfId="0"/>
    <xf numFmtId="0" fontId="2" fillId="7" borderId="1" pivotButton="0" quotePrefix="0" xfId="0"/>
    <xf numFmtId="2" fontId="2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7" fillId="2" borderId="1" applyAlignment="1" pivotButton="0" quotePrefix="0" xfId="0">
      <alignment horizontal="center" vertical="center" textRotation="90"/>
    </xf>
    <xf numFmtId="0" fontId="0" fillId="5" borderId="1" pivotButton="0" quotePrefix="0" xfId="0"/>
    <xf numFmtId="0" fontId="6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5" customWidth="1" min="4" max="4"/>
    <col width="20" customWidth="1" min="5" max="5"/>
    <col width="30" customWidth="1" min="6" max="6"/>
  </cols>
  <sheetData>
    <row r="2">
      <c r="B2" s="1" t="inlineStr">
        <is>
          <t>UNIT TEST CASE</t>
        </is>
      </c>
    </row>
    <row r="4">
      <c r="A4" s="2" t="inlineStr">
        <is>
          <t>Project Name</t>
        </is>
      </c>
      <c r="B4" s="3" t="inlineStr">
        <is>
          <t>LMS - Library Management System</t>
        </is>
      </c>
      <c r="C4" s="4" t="n"/>
      <c r="D4" s="4" t="n"/>
      <c r="E4" s="2" t="inlineStr">
        <is>
          <t>Creator</t>
        </is>
      </c>
      <c r="F4" s="3" t="inlineStr">
        <is>
          <t>SWP391 Dev Team</t>
        </is>
      </c>
    </row>
    <row r="5">
      <c r="A5" s="2" t="inlineStr">
        <is>
          <t>Project Code</t>
        </is>
      </c>
      <c r="B5" s="3" t="inlineStr">
        <is>
          <t>SWP391_LMS</t>
        </is>
      </c>
      <c r="C5" s="4" t="n"/>
      <c r="D5" s="4" t="n"/>
      <c r="E5" s="2" t="inlineStr">
        <is>
          <t>Reviewer/Approver</t>
        </is>
      </c>
      <c r="F5" s="3" t="inlineStr">
        <is>
          <t>Instructor</t>
        </is>
      </c>
    </row>
    <row r="6">
      <c r="A6" s="2" t="inlineStr">
        <is>
          <t>Document Code</t>
        </is>
      </c>
      <c r="B6" s="3" t="inlineStr">
        <is>
          <t>SWP391_LMS_UT_v1.0</t>
        </is>
      </c>
      <c r="C6" s="4" t="n"/>
      <c r="D6" s="4" t="n"/>
      <c r="E6" s="2" t="inlineStr">
        <is>
          <t>Issue Date</t>
        </is>
      </c>
      <c r="F6" s="3" t="inlineStr">
        <is>
          <t>12/07/2026</t>
        </is>
      </c>
    </row>
    <row r="7">
      <c r="A7" s="2" t="inlineStr"/>
      <c r="B7" s="3" t="inlineStr"/>
      <c r="C7" s="4" t="n"/>
      <c r="D7" s="4" t="n"/>
      <c r="E7" s="2" t="inlineStr">
        <is>
          <t>Version</t>
        </is>
      </c>
      <c r="F7" s="3" t="inlineStr">
        <is>
          <t>1.0</t>
        </is>
      </c>
    </row>
    <row r="10">
      <c r="A10" s="5" t="inlineStr">
        <is>
          <t>Record of change</t>
        </is>
      </c>
    </row>
    <row r="11">
      <c r="A11" s="6" t="inlineStr">
        <is>
          <t>Effective Date</t>
        </is>
      </c>
      <c r="B11" s="6" t="inlineStr">
        <is>
          <t>Version</t>
        </is>
      </c>
      <c r="C11" s="6" t="inlineStr">
        <is>
          <t>Change Item</t>
        </is>
      </c>
      <c r="D11" s="6" t="inlineStr">
        <is>
          <t>*A,D,M</t>
        </is>
      </c>
      <c r="E11" s="6" t="inlineStr">
        <is>
          <t>Change description</t>
        </is>
      </c>
      <c r="F11" s="6" t="inlineStr">
        <is>
          <t>Reference</t>
        </is>
      </c>
    </row>
    <row r="12">
      <c r="A12" s="3" t="inlineStr">
        <is>
          <t>12/07/2026</t>
        </is>
      </c>
      <c r="B12" s="3" t="inlineStr">
        <is>
          <t>1.0</t>
        </is>
      </c>
      <c r="C12" s="3" t="inlineStr">
        <is>
          <t>Initial</t>
        </is>
      </c>
      <c r="D12" s="3" t="inlineStr">
        <is>
          <t>A</t>
        </is>
      </c>
      <c r="E12" s="3" t="inlineStr">
        <is>
          <t>Initial version</t>
        </is>
      </c>
      <c r="F12" s="3" t="inlineStr">
        <is>
          <t>AGENTS.md</t>
        </is>
      </c>
    </row>
  </sheetData>
  <mergeCells count="2">
    <mergeCell ref="A10:F10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5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30" customWidth="1" min="4" max="4"/>
    <col width="20" customWidth="1" min="5" max="5"/>
    <col width="22" customWidth="1" min="6" max="6"/>
    <col width="40" customWidth="1" min="7" max="7"/>
    <col width="25" customWidth="1" min="8" max="8"/>
  </cols>
  <sheetData>
    <row r="2">
      <c r="E2" s="1" t="inlineStr">
        <is>
          <t>UNIT TEST CASE LIST</t>
        </is>
      </c>
    </row>
    <row r="4">
      <c r="A4" s="7" t="inlineStr">
        <is>
          <t>Project Name</t>
        </is>
      </c>
      <c r="E4" t="inlineStr">
        <is>
          <t>LMS - Library Management System</t>
        </is>
      </c>
    </row>
    <row r="5">
      <c r="A5" s="7" t="inlineStr">
        <is>
          <t>Project Code</t>
        </is>
      </c>
      <c r="E5" t="inlineStr">
        <is>
          <t>SWP391_LMS</t>
        </is>
      </c>
    </row>
    <row r="6">
      <c r="A6" s="7" t="inlineStr">
        <is>
          <t>Normal number of Test cases/KLOC</t>
        </is>
      </c>
      <c r="E6" t="n">
        <v>100</v>
      </c>
    </row>
    <row r="7" ht="50" customHeight="1">
      <c r="A7" s="7" t="inlineStr">
        <is>
          <t>Test Environment Setup Description</t>
        </is>
      </c>
      <c r="E7" s="8" t="inlineStr">
        <is>
          <t>1. Java JDK 17
2. PostgreSQL (Supabase)
3. JUnit 4.13.2</t>
        </is>
      </c>
    </row>
    <row r="10">
      <c r="A10" s="9" t="inlineStr">
        <is>
          <t>No</t>
        </is>
      </c>
      <c r="B10" s="9" t="inlineStr">
        <is>
          <t>Requirement
Name</t>
        </is>
      </c>
      <c r="C10" s="9" t="inlineStr">
        <is>
          <t>Class Name</t>
        </is>
      </c>
      <c r="D10" s="9" t="inlineStr">
        <is>
          <t>Function Name</t>
        </is>
      </c>
      <c r="E10" s="9" t="inlineStr">
        <is>
          <t>Function Code</t>
        </is>
      </c>
      <c r="F10" s="9" t="inlineStr">
        <is>
          <t>Sheet Name</t>
        </is>
      </c>
      <c r="G10" s="9" t="inlineStr">
        <is>
          <t>Description</t>
        </is>
      </c>
      <c r="H10" s="9" t="inlineStr">
        <is>
          <t>Pre-Condition</t>
        </is>
      </c>
    </row>
    <row r="11">
      <c r="A11" s="10" t="n">
        <v>1</v>
      </c>
      <c r="B11" s="11" t="inlineStr">
        <is>
          <t>asyncEmailSender</t>
        </is>
      </c>
      <c r="C11" s="11" t="inlineStr">
        <is>
          <t>EmailJob</t>
        </is>
      </c>
      <c r="D11" s="11" t="inlineStr">
        <is>
          <t>EmailJobTest</t>
        </is>
      </c>
      <c r="E11" s="11" t="inlineStr">
        <is>
          <t>EmailJobTest</t>
        </is>
      </c>
      <c r="F11" s="11" t="inlineStr">
        <is>
          <t>EmailJobTest</t>
        </is>
      </c>
      <c r="G11" s="11" t="inlineStr">
        <is>
          <t>Unit test EmailJob (50 TCs: 50N/0A/0B)</t>
        </is>
      </c>
      <c r="H11" s="11" t="inlineStr">
        <is>
          <t>Java JDK 17, DB ready</t>
        </is>
      </c>
    </row>
    <row r="12">
      <c r="A12" s="10" t="n">
        <v>2</v>
      </c>
      <c r="B12" s="11" t="inlineStr">
        <is>
          <t>asyncEmailSender</t>
        </is>
      </c>
      <c r="C12" s="11" t="inlineStr">
        <is>
          <t>EmailService</t>
        </is>
      </c>
      <c r="D12" s="11" t="inlineStr">
        <is>
          <t>EmailServiceTest</t>
        </is>
      </c>
      <c r="E12" s="11" t="inlineStr">
        <is>
          <t>EmailServiceTest</t>
        </is>
      </c>
      <c r="F12" s="11" t="inlineStr">
        <is>
          <t>EmailServiceTest</t>
        </is>
      </c>
      <c r="G12" s="11" t="inlineStr">
        <is>
          <t>Unit test EmailService (50 TCs: 49N/1A/0B)</t>
        </is>
      </c>
      <c r="H12" s="11" t="inlineStr">
        <is>
          <t>Java JDK 17, DB ready</t>
        </is>
      </c>
    </row>
    <row r="13">
      <c r="A13" s="10" t="n">
        <v>3</v>
      </c>
      <c r="B13" s="11" t="inlineStr">
        <is>
          <t>asyncEmailSender</t>
        </is>
      </c>
      <c r="C13" s="11" t="inlineStr">
        <is>
          <t>EmailTrigger</t>
        </is>
      </c>
      <c r="D13" s="11" t="inlineStr">
        <is>
          <t>EmailTriggerIntegrationTest</t>
        </is>
      </c>
      <c r="E13" s="11" t="inlineStr">
        <is>
          <t>EmailTriggerIntegrationTest</t>
        </is>
      </c>
      <c r="F13" s="11" t="inlineStr">
        <is>
          <t>EmailTriggerIntegrationTest</t>
        </is>
      </c>
      <c r="G13" s="11" t="inlineStr">
        <is>
          <t>Unit test EmailTrigger (50 TCs: 50N/0A/0B)</t>
        </is>
      </c>
      <c r="H13" s="11" t="inlineStr">
        <is>
          <t>Java JDK 17, DB ready</t>
        </is>
      </c>
    </row>
    <row r="14">
      <c r="A14" s="10" t="n">
        <v>4</v>
      </c>
      <c r="B14" s="11" t="inlineStr">
        <is>
          <t>asyncEmailSender</t>
        </is>
      </c>
      <c r="C14" s="11" t="inlineStr">
        <is>
          <t>EmailWorker</t>
        </is>
      </c>
      <c r="D14" s="11" t="inlineStr">
        <is>
          <t>EmailWorkerTest</t>
        </is>
      </c>
      <c r="E14" s="11" t="inlineStr">
        <is>
          <t>EmailWorkerTest</t>
        </is>
      </c>
      <c r="F14" s="11" t="inlineStr">
        <is>
          <t>EmailWorkerTest</t>
        </is>
      </c>
      <c r="G14" s="11" t="inlineStr">
        <is>
          <t>Unit test EmailWorker (50 TCs: 50N/0A/0B)</t>
        </is>
      </c>
      <c r="H14" s="11" t="inlineStr">
        <is>
          <t>Java JDK 17, DB ready</t>
        </is>
      </c>
    </row>
    <row r="15">
      <c r="A15" s="10" t="n">
        <v>5</v>
      </c>
      <c r="B15" s="11" t="inlineStr">
        <is>
          <t>dao</t>
        </is>
      </c>
      <c r="C15" s="11" t="inlineStr">
        <is>
          <t>BookCopyDAO</t>
        </is>
      </c>
      <c r="D15" s="11" t="inlineStr">
        <is>
          <t>BookCopyDAOTest</t>
        </is>
      </c>
      <c r="E15" s="11" t="inlineStr">
        <is>
          <t>BookCopyDAOTest</t>
        </is>
      </c>
      <c r="F15" s="11" t="inlineStr">
        <is>
          <t>BookCopyDAOTest</t>
        </is>
      </c>
      <c r="G15" s="11" t="inlineStr">
        <is>
          <t>Unit test BookCopyDAO (1 TCs: 1N/0A/0B)</t>
        </is>
      </c>
      <c r="H15" s="11" t="inlineStr">
        <is>
          <t>Java JDK 17, DB ready</t>
        </is>
      </c>
    </row>
    <row r="16">
      <c r="A16" s="10" t="n">
        <v>6</v>
      </c>
      <c r="B16" s="11" t="inlineStr">
        <is>
          <t>dao</t>
        </is>
      </c>
      <c r="C16" s="11" t="inlineStr">
        <is>
          <t>BookCopyIncidentDAO</t>
        </is>
      </c>
      <c r="D16" s="11" t="inlineStr">
        <is>
          <t>BookCopyIncidentDAOTest</t>
        </is>
      </c>
      <c r="E16" s="11" t="inlineStr">
        <is>
          <t>BookCopyIncidentDAOTest</t>
        </is>
      </c>
      <c r="F16" s="11" t="inlineStr">
        <is>
          <t>BookCopyIncidentDAOTest</t>
        </is>
      </c>
      <c r="G16" s="11" t="inlineStr">
        <is>
          <t>Unit test BookCopyIncidentDAO (2 TCs: 2N/0A/0B)</t>
        </is>
      </c>
      <c r="H16" s="11" t="inlineStr">
        <is>
          <t>Java JDK 17, DB ready</t>
        </is>
      </c>
    </row>
    <row r="17">
      <c r="A17" s="10" t="n">
        <v>7</v>
      </c>
      <c r="B17" s="11" t="inlineStr">
        <is>
          <t>dao</t>
        </is>
      </c>
      <c r="C17" s="11" t="inlineStr">
        <is>
          <t>BookDAO</t>
        </is>
      </c>
      <c r="D17" s="11" t="inlineStr">
        <is>
          <t>BookDAOTest</t>
        </is>
      </c>
      <c r="E17" s="11" t="inlineStr">
        <is>
          <t>BookDAOTest</t>
        </is>
      </c>
      <c r="F17" s="11" t="inlineStr">
        <is>
          <t>BookDAOTest</t>
        </is>
      </c>
      <c r="G17" s="11" t="inlineStr">
        <is>
          <t>Unit test BookDAO (1 TCs: 0N/0A/1B)</t>
        </is>
      </c>
      <c r="H17" s="11" t="inlineStr">
        <is>
          <t>Java JDK 17, DB ready</t>
        </is>
      </c>
    </row>
    <row r="18">
      <c r="A18" s="10" t="n">
        <v>8</v>
      </c>
      <c r="B18" s="11" t="inlineStr">
        <is>
          <t>dao</t>
        </is>
      </c>
      <c r="C18" s="11" t="inlineStr">
        <is>
          <t>BookImportDAO</t>
        </is>
      </c>
      <c r="D18" s="11" t="inlineStr">
        <is>
          <t>BookImportDAOTest</t>
        </is>
      </c>
      <c r="E18" s="11" t="inlineStr">
        <is>
          <t>BookImportDAOTest</t>
        </is>
      </c>
      <c r="F18" s="11" t="inlineStr">
        <is>
          <t>BookImportDAOTest</t>
        </is>
      </c>
      <c r="G18" s="11" t="inlineStr">
        <is>
          <t>Unit test BookImportDAO (2 TCs: 1N/1A/0B)</t>
        </is>
      </c>
      <c r="H18" s="11" t="inlineStr">
        <is>
          <t>Java JDK 17, DB ready</t>
        </is>
      </c>
    </row>
    <row r="19">
      <c r="A19" s="10" t="n">
        <v>9</v>
      </c>
      <c r="B19" s="11" t="inlineStr">
        <is>
          <t>dao</t>
        </is>
      </c>
      <c r="C19" s="11" t="inlineStr">
        <is>
          <t>BorrowRecordDAO</t>
        </is>
      </c>
      <c r="D19" s="11" t="inlineStr">
        <is>
          <t>BorrowRecordDAOTest</t>
        </is>
      </c>
      <c r="E19" s="11" t="inlineStr">
        <is>
          <t>BorrowRecordDAOTest</t>
        </is>
      </c>
      <c r="F19" s="11" t="inlineStr">
        <is>
          <t>BorrowRecordDAOTest</t>
        </is>
      </c>
      <c r="G19" s="11" t="inlineStr">
        <is>
          <t>Unit test BorrowRecordDAO (4 TCs: 3N/1A/0B)</t>
        </is>
      </c>
      <c r="H19" s="11" t="inlineStr">
        <is>
          <t>Java JDK 17, DB ready</t>
        </is>
      </c>
    </row>
    <row r="20">
      <c r="A20" s="10" t="n">
        <v>10</v>
      </c>
      <c r="B20" s="11" t="inlineStr">
        <is>
          <t>dao</t>
        </is>
      </c>
      <c r="C20" s="11" t="inlineStr">
        <is>
          <t>CategoryTagDAO</t>
        </is>
      </c>
      <c r="D20" s="11" t="inlineStr">
        <is>
          <t>CategoryTagDAOTest</t>
        </is>
      </c>
      <c r="E20" s="11" t="inlineStr">
        <is>
          <t>CategoryTagDAOTest</t>
        </is>
      </c>
      <c r="F20" s="11" t="inlineStr">
        <is>
          <t>CategoryTagDAOTest</t>
        </is>
      </c>
      <c r="G20" s="11" t="inlineStr">
        <is>
          <t>Unit test CategoryTagDAO (2 TCs: 2N/0A/0B)</t>
        </is>
      </c>
      <c r="H20" s="11" t="inlineStr">
        <is>
          <t>Java JDK 17, DB ready</t>
        </is>
      </c>
    </row>
    <row r="21">
      <c r="A21" s="10" t="n">
        <v>11</v>
      </c>
      <c r="B21" s="11" t="inlineStr">
        <is>
          <t>dao</t>
        </is>
      </c>
      <c r="C21" s="11" t="inlineStr">
        <is>
          <t>FineDAO</t>
        </is>
      </c>
      <c r="D21" s="11" t="inlineStr">
        <is>
          <t>FineDAOTest</t>
        </is>
      </c>
      <c r="E21" s="11" t="inlineStr">
        <is>
          <t>FineDAOTest</t>
        </is>
      </c>
      <c r="F21" s="11" t="inlineStr">
        <is>
          <t>FineDAOTest</t>
        </is>
      </c>
      <c r="G21" s="11" t="inlineStr">
        <is>
          <t>Unit test FineDAO (3 TCs: 3N/0A/0B)</t>
        </is>
      </c>
      <c r="H21" s="11" t="inlineStr">
        <is>
          <t>Java JDK 17, DB ready</t>
        </is>
      </c>
    </row>
    <row r="22">
      <c r="A22" s="10" t="n">
        <v>12</v>
      </c>
      <c r="B22" s="11" t="inlineStr">
        <is>
          <t>dao</t>
        </is>
      </c>
      <c r="C22" s="11" t="inlineStr">
        <is>
          <t>InventoryDAO</t>
        </is>
      </c>
      <c r="D22" s="11" t="inlineStr">
        <is>
          <t>InventoryDAOTest</t>
        </is>
      </c>
      <c r="E22" s="11" t="inlineStr">
        <is>
          <t>InventoryDAOTest</t>
        </is>
      </c>
      <c r="F22" s="11" t="inlineStr">
        <is>
          <t>InventoryDAOTest</t>
        </is>
      </c>
      <c r="G22" s="11" t="inlineStr">
        <is>
          <t>Unit test InventoryDAO (1 TCs: 1N/0A/0B)</t>
        </is>
      </c>
      <c r="H22" s="11" t="inlineStr">
        <is>
          <t>Java JDK 17, DB ready</t>
        </is>
      </c>
    </row>
    <row r="23">
      <c r="A23" s="10" t="n">
        <v>13</v>
      </c>
      <c r="B23" s="11" t="inlineStr">
        <is>
          <t>dao</t>
        </is>
      </c>
      <c r="C23" s="11" t="inlineStr">
        <is>
          <t>ReservationDAO</t>
        </is>
      </c>
      <c r="D23" s="11" t="inlineStr">
        <is>
          <t>ReservationDAOTest</t>
        </is>
      </c>
      <c r="E23" s="11" t="inlineStr">
        <is>
          <t>ReservationDAOTest</t>
        </is>
      </c>
      <c r="F23" s="11" t="inlineStr">
        <is>
          <t>ReservationDAOTest</t>
        </is>
      </c>
      <c r="G23" s="11" t="inlineStr">
        <is>
          <t>Unit test ReservationDAO (3 TCs: 2N/1A/0B)</t>
        </is>
      </c>
      <c r="H23" s="11" t="inlineStr">
        <is>
          <t>Java JDK 17, DB ready</t>
        </is>
      </c>
    </row>
    <row r="24">
      <c r="A24" s="10" t="n">
        <v>14</v>
      </c>
      <c r="B24" s="11" t="inlineStr">
        <is>
          <t>dao</t>
        </is>
      </c>
      <c r="C24" s="11" t="inlineStr">
        <is>
          <t>UserDAO</t>
        </is>
      </c>
      <c r="D24" s="11" t="inlineStr">
        <is>
          <t>UserDAOTest</t>
        </is>
      </c>
      <c r="E24" s="11" t="inlineStr">
        <is>
          <t>UserDAOTest</t>
        </is>
      </c>
      <c r="F24" s="11" t="inlineStr">
        <is>
          <t>UserDAOTest</t>
        </is>
      </c>
      <c r="G24" s="11" t="inlineStr">
        <is>
          <t>Unit test UserDAO (4 TCs: 3N/1A/0B)</t>
        </is>
      </c>
      <c r="H24" s="11" t="inlineStr">
        <is>
          <t>Java JDK 17, DB ready</t>
        </is>
      </c>
    </row>
    <row r="25">
      <c r="A25" s="10" t="n">
        <v>15</v>
      </c>
      <c r="B25" s="11" t="inlineStr">
        <is>
          <t>f14</t>
        </is>
      </c>
      <c r="C25" s="11" t="inlineStr">
        <is>
          <t>AiChatbotService</t>
        </is>
      </c>
      <c r="D25" s="11" t="inlineStr">
        <is>
          <t>AiChatbotServiceIntegrationTest</t>
        </is>
      </c>
      <c r="E25" s="11" t="inlineStr">
        <is>
          <t>AiChatbotServiceIntegrationTest</t>
        </is>
      </c>
      <c r="F25" s="11" t="inlineStr">
        <is>
          <t>AiChatbotServiceIntegrationTest</t>
        </is>
      </c>
      <c r="G25" s="11" t="inlineStr">
        <is>
          <t>Unit test AiChatbotService (31 TCs: 31N/0A/0B)</t>
        </is>
      </c>
      <c r="H25" s="11" t="inlineStr">
        <is>
          <t>Java JDK 17, DB ready</t>
        </is>
      </c>
    </row>
    <row r="26">
      <c r="A26" s="10" t="n">
        <v>16</v>
      </c>
      <c r="B26" s="11" t="inlineStr">
        <is>
          <t>f14</t>
        </is>
      </c>
      <c r="C26" s="11" t="inlineStr">
        <is>
          <t>AiChatbotService</t>
        </is>
      </c>
      <c r="D26" s="11" t="inlineStr">
        <is>
          <t>AiChatbotServiceUnitTest</t>
        </is>
      </c>
      <c r="E26" s="11" t="inlineStr">
        <is>
          <t>AiChatbotServiceUnitTest</t>
        </is>
      </c>
      <c r="F26" s="11" t="inlineStr">
        <is>
          <t>AiChatbotServiceUnitTest</t>
        </is>
      </c>
      <c r="G26" s="11" t="inlineStr">
        <is>
          <t>Unit test AiChatbotService (51 TCs: 51N/0A/0B)</t>
        </is>
      </c>
      <c r="H26" s="11" t="inlineStr">
        <is>
          <t>Java JDK 17, DB ready</t>
        </is>
      </c>
    </row>
    <row r="27">
      <c r="A27" s="10" t="n">
        <v>17</v>
      </c>
      <c r="B27" s="11" t="inlineStr">
        <is>
          <t>f14</t>
        </is>
      </c>
      <c r="C27" s="11" t="inlineStr">
        <is>
          <t>AiChatbotServlet</t>
        </is>
      </c>
      <c r="D27" s="11" t="inlineStr">
        <is>
          <t>AiChatbotServletTest</t>
        </is>
      </c>
      <c r="E27" s="11" t="inlineStr">
        <is>
          <t>AiChatbotServletTest</t>
        </is>
      </c>
      <c r="F27" s="11" t="inlineStr">
        <is>
          <t>AiChatbotServletTest</t>
        </is>
      </c>
      <c r="G27" s="11" t="inlineStr">
        <is>
          <t>Unit test AiChatbotServlet (21 TCs: 20N/1A/0B)</t>
        </is>
      </c>
      <c r="H27" s="11" t="inlineStr">
        <is>
          <t>Java JDK 17, DB ready</t>
        </is>
      </c>
    </row>
    <row r="28">
      <c r="A28" s="10" t="n">
        <v>18</v>
      </c>
      <c r="B28" s="11" t="inlineStr">
        <is>
          <t>f20</t>
        </is>
      </c>
      <c r="C28" s="11" t="inlineStr">
        <is>
          <t>BookSuggestionService</t>
        </is>
      </c>
      <c r="D28" s="11" t="inlineStr">
        <is>
          <t>BookSuggestionServiceTest</t>
        </is>
      </c>
      <c r="E28" s="11" t="inlineStr">
        <is>
          <t>BookSuggestionServiceTest</t>
        </is>
      </c>
      <c r="F28" s="11" t="inlineStr">
        <is>
          <t>BookSuggestionServiceTest</t>
        </is>
      </c>
      <c r="G28" s="11" t="inlineStr">
        <is>
          <t>Unit test BookSuggestionService (201 TCs: 193N/8A/0B)</t>
        </is>
      </c>
      <c r="H28" s="11" t="inlineStr">
        <is>
          <t>Java JDK 17, DB ready</t>
        </is>
      </c>
    </row>
    <row r="29">
      <c r="A29" s="10" t="n">
        <v>19</v>
      </c>
      <c r="B29" s="11" t="inlineStr">
        <is>
          <t>f5</t>
        </is>
      </c>
      <c r="C29" s="11" t="inlineStr">
        <is>
          <t>F5SystemServlet</t>
        </is>
      </c>
      <c r="D29" s="11" t="inlineStr">
        <is>
          <t>F5SystemServletTest</t>
        </is>
      </c>
      <c r="E29" s="11" t="inlineStr">
        <is>
          <t>F5SystemServletTest</t>
        </is>
      </c>
      <c r="F29" s="11" t="inlineStr">
        <is>
          <t>F5SystemServletTest</t>
        </is>
      </c>
      <c r="G29" s="11" t="inlineStr">
        <is>
          <t>Unit test F5SystemServlet (26 TCs: 25N/1A/0B)</t>
        </is>
      </c>
      <c r="H29" s="11" t="inlineStr">
        <is>
          <t>Java JDK 17, DB ready</t>
        </is>
      </c>
    </row>
    <row r="30">
      <c r="A30" s="10" t="n">
        <v>20</v>
      </c>
      <c r="B30" s="11" t="inlineStr">
        <is>
          <t>f5</t>
        </is>
      </c>
      <c r="C30" s="11" t="inlineStr">
        <is>
          <t>OnlineCirculationService</t>
        </is>
      </c>
      <c r="D30" s="11" t="inlineStr">
        <is>
          <t>OnlineCirculationServiceIntegrationTest</t>
        </is>
      </c>
      <c r="E30" s="11" t="inlineStr">
        <is>
          <t>OnlineCirculationServiceIntegra</t>
        </is>
      </c>
      <c r="F30" s="11" t="inlineStr">
        <is>
          <t>OnlineCirculationServiceIntegra</t>
        </is>
      </c>
      <c r="G30" s="11" t="inlineStr">
        <is>
          <t>Unit test OnlineCirculationService (13 TCs: 13N/0A/0B)</t>
        </is>
      </c>
      <c r="H30" s="11" t="inlineStr">
        <is>
          <t>Java JDK 17, DB ready</t>
        </is>
      </c>
    </row>
    <row r="31">
      <c r="A31" s="10" t="n">
        <v>21</v>
      </c>
      <c r="B31" s="11" t="inlineStr">
        <is>
          <t>f5</t>
        </is>
      </c>
      <c r="C31" s="11" t="inlineStr">
        <is>
          <t>OnlineCirculationService</t>
        </is>
      </c>
      <c r="D31" s="11" t="inlineStr">
        <is>
          <t>OnlineCirculationServiceUnitTest</t>
        </is>
      </c>
      <c r="E31" s="11" t="inlineStr">
        <is>
          <t>OnlineCirculationServiceUnitTes</t>
        </is>
      </c>
      <c r="F31" s="11" t="inlineStr">
        <is>
          <t>OnlineCirculationServiceUnitTes</t>
        </is>
      </c>
      <c r="G31" s="11" t="inlineStr">
        <is>
          <t>Unit test OnlineCirculationService (109 TCs: 94N/9A/6B)</t>
        </is>
      </c>
      <c r="H31" s="11" t="inlineStr">
        <is>
          <t>Java JDK 17, DB ready</t>
        </is>
      </c>
    </row>
    <row r="32">
      <c r="A32" s="10" t="n">
        <v>22</v>
      </c>
      <c r="B32" s="11" t="inlineStr">
        <is>
          <t>f6</t>
        </is>
      </c>
      <c r="C32" s="11" t="inlineStr">
        <is>
          <t>DeskCirculationService</t>
        </is>
      </c>
      <c r="D32" s="11" t="inlineStr">
        <is>
          <t>DeskCirculationServiceIntegrationTest</t>
        </is>
      </c>
      <c r="E32" s="11" t="inlineStr">
        <is>
          <t>DeskCirculationServiceIntegrati</t>
        </is>
      </c>
      <c r="F32" s="11" t="inlineStr">
        <is>
          <t>DeskCirculationServiceIntegrati</t>
        </is>
      </c>
      <c r="G32" s="11" t="inlineStr">
        <is>
          <t>Unit test DeskCirculationService (31 TCs: 28N/3A/0B)</t>
        </is>
      </c>
      <c r="H32" s="11" t="inlineStr">
        <is>
          <t>Java JDK 17, DB ready</t>
        </is>
      </c>
    </row>
    <row r="33">
      <c r="A33" s="10" t="n">
        <v>23</v>
      </c>
      <c r="B33" s="11" t="inlineStr">
        <is>
          <t>f6</t>
        </is>
      </c>
      <c r="C33" s="11" t="inlineStr">
        <is>
          <t>DeskCirculationService</t>
        </is>
      </c>
      <c r="D33" s="11" t="inlineStr">
        <is>
          <t>DeskCirculationServiceUnitTest</t>
        </is>
      </c>
      <c r="E33" s="11" t="inlineStr">
        <is>
          <t>DeskCirculationServiceUnitTest</t>
        </is>
      </c>
      <c r="F33" s="11" t="inlineStr">
        <is>
          <t>DeskCirculationServiceUnitTest</t>
        </is>
      </c>
      <c r="G33" s="11" t="inlineStr">
        <is>
          <t>Unit test DeskCirculationService (51 TCs: 46N/5A/0B)</t>
        </is>
      </c>
      <c r="H33" s="11" t="inlineStr">
        <is>
          <t>Java JDK 17, DB ready</t>
        </is>
      </c>
    </row>
    <row r="34">
      <c r="A34" s="10" t="n">
        <v>24</v>
      </c>
      <c r="B34" s="11" t="inlineStr">
        <is>
          <t>f6</t>
        </is>
      </c>
      <c r="C34" s="11" t="inlineStr">
        <is>
          <t>F6SystemServlet</t>
        </is>
      </c>
      <c r="D34" s="11" t="inlineStr">
        <is>
          <t>F6SystemServletTest</t>
        </is>
      </c>
      <c r="E34" s="11" t="inlineStr">
        <is>
          <t>F6SystemServletTest</t>
        </is>
      </c>
      <c r="F34" s="11" t="inlineStr">
        <is>
          <t>F6SystemServletTest</t>
        </is>
      </c>
      <c r="G34" s="11" t="inlineStr">
        <is>
          <t>Unit test F6SystemServlet (21 TCs: 20N/1A/0B)</t>
        </is>
      </c>
      <c r="H34" s="11" t="inlineStr">
        <is>
          <t>Java JDK 17, DB ready</t>
        </is>
      </c>
    </row>
    <row r="35">
      <c r="A35" s="10" t="n">
        <v>25</v>
      </c>
      <c r="B35" s="11" t="inlineStr">
        <is>
          <t>f8</t>
        </is>
      </c>
      <c r="C35" s="11" t="inlineStr">
        <is>
          <t>AiConfig</t>
        </is>
      </c>
      <c r="D35" s="11" t="inlineStr">
        <is>
          <t>AiConfigTest</t>
        </is>
      </c>
      <c r="E35" s="11" t="inlineStr">
        <is>
          <t>AiConfigTest</t>
        </is>
      </c>
      <c r="F35" s="11" t="inlineStr">
        <is>
          <t>AiConfigTest</t>
        </is>
      </c>
      <c r="G35" s="11" t="inlineStr">
        <is>
          <t>Unit test AiConfig (20 TCs: 20N/0A/0B)</t>
        </is>
      </c>
      <c r="H35" s="11" t="inlineStr">
        <is>
          <t>Java JDK 17, DB ready</t>
        </is>
      </c>
    </row>
    <row r="36">
      <c r="A36" s="10" t="n">
        <v>26</v>
      </c>
      <c r="B36" s="11" t="inlineStr">
        <is>
          <t>f8</t>
        </is>
      </c>
      <c r="C36" s="11" t="inlineStr">
        <is>
          <t>AiRecommendationService</t>
        </is>
      </c>
      <c r="D36" s="11" t="inlineStr">
        <is>
          <t>AiRecommendationServiceTest</t>
        </is>
      </c>
      <c r="E36" s="11" t="inlineStr">
        <is>
          <t>AiRecommendationServiceTest</t>
        </is>
      </c>
      <c r="F36" s="11" t="inlineStr">
        <is>
          <t>AiRecommendationServiceTest</t>
        </is>
      </c>
      <c r="G36" s="11" t="inlineStr">
        <is>
          <t>Unit test AiRecommendationService (45 TCs: 42N/3A/0B)</t>
        </is>
      </c>
      <c r="H36" s="11" t="inlineStr">
        <is>
          <t>Java JDK 17, DB ready</t>
        </is>
      </c>
    </row>
    <row r="37">
      <c r="A37" s="10" t="n">
        <v>27</v>
      </c>
      <c r="B37" s="11" t="inlineStr">
        <is>
          <t>f8</t>
        </is>
      </c>
      <c r="C37" s="11" t="inlineStr">
        <is>
          <t>BookDAO</t>
        </is>
      </c>
      <c r="D37" s="11" t="inlineStr">
        <is>
          <t>BookDAOTest</t>
        </is>
      </c>
      <c r="E37" s="11" t="inlineStr">
        <is>
          <t>BookDAOTest_26</t>
        </is>
      </c>
      <c r="F37" s="11" t="inlineStr">
        <is>
          <t>BookDAOTest_26</t>
        </is>
      </c>
      <c r="G37" s="11" t="inlineStr">
        <is>
          <t>Unit test BookDAO (63 TCs: 63N/0A/0B)</t>
        </is>
      </c>
      <c r="H37" s="11" t="inlineStr">
        <is>
          <t>Java JDK 17, DB ready</t>
        </is>
      </c>
    </row>
    <row r="38">
      <c r="A38" s="10" t="n">
        <v>28</v>
      </c>
      <c r="B38" s="11" t="inlineStr">
        <is>
          <t>f8</t>
        </is>
      </c>
      <c r="C38" s="11" t="inlineStr">
        <is>
          <t>BookDiscoverySystem</t>
        </is>
      </c>
      <c r="D38" s="11" t="inlineStr">
        <is>
          <t>BookDiscoverySystemTest</t>
        </is>
      </c>
      <c r="E38" s="11" t="inlineStr">
        <is>
          <t>BookDiscoverySystemTest</t>
        </is>
      </c>
      <c r="F38" s="11" t="inlineStr">
        <is>
          <t>BookDiscoverySystemTest</t>
        </is>
      </c>
      <c r="G38" s="11" t="inlineStr">
        <is>
          <t>Unit test BookDiscoverySystem (21 TCs: 21N/0A/0B)</t>
        </is>
      </c>
      <c r="H38" s="11" t="inlineStr">
        <is>
          <t>Java JDK 17, DB ready</t>
        </is>
      </c>
    </row>
    <row r="39">
      <c r="A39" s="10" t="n">
        <v>29</v>
      </c>
      <c r="B39" s="11" t="inlineStr">
        <is>
          <t>f8</t>
        </is>
      </c>
      <c r="C39" s="11" t="inlineStr">
        <is>
          <t>BookServlets</t>
        </is>
      </c>
      <c r="D39" s="11" t="inlineStr">
        <is>
          <t>BookServletsTest</t>
        </is>
      </c>
      <c r="E39" s="11" t="inlineStr">
        <is>
          <t>BookServletsTest</t>
        </is>
      </c>
      <c r="F39" s="11" t="inlineStr">
        <is>
          <t>BookServletsTest</t>
        </is>
      </c>
      <c r="G39" s="11" t="inlineStr">
        <is>
          <t>Unit test BookServlets (22 TCs: 16N/6A/0B)</t>
        </is>
      </c>
      <c r="H39" s="11" t="inlineStr">
        <is>
          <t>Java JDK 17, DB ready</t>
        </is>
      </c>
    </row>
    <row r="40">
      <c r="A40" s="10" t="n">
        <v>30</v>
      </c>
      <c r="B40" s="11" t="inlineStr">
        <is>
          <t>f8</t>
        </is>
      </c>
      <c r="C40" s="11" t="inlineStr">
        <is>
          <t>RecommendationServlet</t>
        </is>
      </c>
      <c r="D40" s="11" t="inlineStr">
        <is>
          <t>RecommendationServletTest</t>
        </is>
      </c>
      <c r="E40" s="11" t="inlineStr">
        <is>
          <t>RecommendationServletTest</t>
        </is>
      </c>
      <c r="F40" s="11" t="inlineStr">
        <is>
          <t>RecommendationServletTest</t>
        </is>
      </c>
      <c r="G40" s="11" t="inlineStr">
        <is>
          <t>Unit test RecommendationServlet (45 TCs: 44N/1A/0B)</t>
        </is>
      </c>
      <c r="H40" s="11" t="inlineStr">
        <is>
          <t>Java JDK 17, DB ready</t>
        </is>
      </c>
    </row>
    <row r="41">
      <c r="A41" s="10" t="n">
        <v>31</v>
      </c>
      <c r="B41" s="11" t="inlineStr">
        <is>
          <t>service</t>
        </is>
      </c>
      <c r="C41" s="11" t="inlineStr">
        <is>
          <t>AuthService</t>
        </is>
      </c>
      <c r="D41" s="11" t="inlineStr">
        <is>
          <t>AuthServiceTest</t>
        </is>
      </c>
      <c r="E41" s="11" t="inlineStr">
        <is>
          <t>AuthServiceTest</t>
        </is>
      </c>
      <c r="F41" s="11" t="inlineStr">
        <is>
          <t>AuthServiceTest</t>
        </is>
      </c>
      <c r="G41" s="11" t="inlineStr">
        <is>
          <t>Unit test AuthService (11 TCs: 3N/7A/1B)</t>
        </is>
      </c>
      <c r="H41" s="11" t="inlineStr">
        <is>
          <t>Java JDK 17, DB ready</t>
        </is>
      </c>
    </row>
    <row r="42">
      <c r="A42" s="10" t="n">
        <v>32</v>
      </c>
      <c r="B42" s="11" t="inlineStr">
        <is>
          <t>service</t>
        </is>
      </c>
      <c r="C42" s="11" t="inlineStr">
        <is>
          <t>BookCopyIncidentService</t>
        </is>
      </c>
      <c r="D42" s="11" t="inlineStr">
        <is>
          <t>BookCopyIncidentServiceTest</t>
        </is>
      </c>
      <c r="E42" s="11" t="inlineStr">
        <is>
          <t>BookCopyIncidentServiceTest</t>
        </is>
      </c>
      <c r="F42" s="11" t="inlineStr">
        <is>
          <t>BookCopyIncidentServiceTest</t>
        </is>
      </c>
      <c r="G42" s="11" t="inlineStr">
        <is>
          <t>Unit test BookCopyIncidentService (5 TCs: 1N/4A/0B)</t>
        </is>
      </c>
      <c r="H42" s="11" t="inlineStr">
        <is>
          <t>Java JDK 17, DB ready</t>
        </is>
      </c>
    </row>
    <row r="43">
      <c r="A43" s="10" t="n">
        <v>33</v>
      </c>
      <c r="B43" s="11" t="inlineStr">
        <is>
          <t>service</t>
        </is>
      </c>
      <c r="C43" s="11" t="inlineStr">
        <is>
          <t>BookCopyService</t>
        </is>
      </c>
      <c r="D43" s="11" t="inlineStr">
        <is>
          <t>BookCopyServiceTest</t>
        </is>
      </c>
      <c r="E43" s="11" t="inlineStr">
        <is>
          <t>BookCopyServiceTest</t>
        </is>
      </c>
      <c r="F43" s="11" t="inlineStr">
        <is>
          <t>BookCopyServiceTest</t>
        </is>
      </c>
      <c r="G43" s="11" t="inlineStr">
        <is>
          <t>Unit test BookCopyService (3 TCs: 2N/1A/0B)</t>
        </is>
      </c>
      <c r="H43" s="11" t="inlineStr">
        <is>
          <t>Java JDK 17, DB ready</t>
        </is>
      </c>
    </row>
    <row r="44">
      <c r="A44" s="10" t="n">
        <v>34</v>
      </c>
      <c r="B44" s="11" t="inlineStr">
        <is>
          <t>service</t>
        </is>
      </c>
      <c r="C44" s="11" t="inlineStr">
        <is>
          <t>BookImportService</t>
        </is>
      </c>
      <c r="D44" s="11" t="inlineStr">
        <is>
          <t>BookImportServiceTest</t>
        </is>
      </c>
      <c r="E44" s="11" t="inlineStr">
        <is>
          <t>BookImportServiceTest</t>
        </is>
      </c>
      <c r="F44" s="11" t="inlineStr">
        <is>
          <t>BookImportServiceTest</t>
        </is>
      </c>
      <c r="G44" s="11" t="inlineStr">
        <is>
          <t>Unit test BookImportService (4 TCs: 2N/2A/0B)</t>
        </is>
      </c>
      <c r="H44" s="11" t="inlineStr">
        <is>
          <t>Java JDK 17, DB ready</t>
        </is>
      </c>
    </row>
    <row r="45">
      <c r="A45" s="10" t="n">
        <v>35</v>
      </c>
      <c r="B45" s="11" t="inlineStr">
        <is>
          <t>service</t>
        </is>
      </c>
      <c r="C45" s="11" t="inlineStr">
        <is>
          <t>BookService</t>
        </is>
      </c>
      <c r="D45" s="11" t="inlineStr">
        <is>
          <t>BookServiceTest</t>
        </is>
      </c>
      <c r="E45" s="11" t="inlineStr">
        <is>
          <t>BookServiceTest</t>
        </is>
      </c>
      <c r="F45" s="11" t="inlineStr">
        <is>
          <t>BookServiceTest</t>
        </is>
      </c>
      <c r="G45" s="11" t="inlineStr">
        <is>
          <t>Unit test BookService (6 TCs: 2N/4A/0B)</t>
        </is>
      </c>
      <c r="H45" s="11" t="inlineStr">
        <is>
          <t>Java JDK 17, DB ready</t>
        </is>
      </c>
    </row>
    <row r="46">
      <c r="A46" s="10" t="n">
        <v>36</v>
      </c>
      <c r="B46" s="11" t="inlineStr">
        <is>
          <t>service</t>
        </is>
      </c>
      <c r="C46" s="11" t="inlineStr">
        <is>
          <t>CategoryService</t>
        </is>
      </c>
      <c r="D46" s="11" t="inlineStr">
        <is>
          <t>CategoryServiceTest</t>
        </is>
      </c>
      <c r="E46" s="11" t="inlineStr">
        <is>
          <t>CategoryServiceTest</t>
        </is>
      </c>
      <c r="F46" s="11" t="inlineStr">
        <is>
          <t>CategoryServiceTest</t>
        </is>
      </c>
      <c r="G46" s="11" t="inlineStr">
        <is>
          <t>Unit test CategoryService (2 TCs: 1N/1A/0B)</t>
        </is>
      </c>
      <c r="H46" s="11" t="inlineStr">
        <is>
          <t>Java JDK 17, DB ready</t>
        </is>
      </c>
    </row>
    <row r="47">
      <c r="A47" s="10" t="n">
        <v>37</v>
      </c>
      <c r="B47" s="11" t="inlineStr">
        <is>
          <t>service</t>
        </is>
      </c>
      <c r="C47" s="11" t="inlineStr">
        <is>
          <t>InventoryReconciliationService</t>
        </is>
      </c>
      <c r="D47" s="11" t="inlineStr">
        <is>
          <t>InventoryReconciliationServiceTest</t>
        </is>
      </c>
      <c r="E47" s="11" t="inlineStr">
        <is>
          <t>InventoryReconciliationServiceT</t>
        </is>
      </c>
      <c r="F47" s="11" t="inlineStr">
        <is>
          <t>InventoryReconciliationServiceT</t>
        </is>
      </c>
      <c r="G47" s="11" t="inlineStr">
        <is>
          <t>Unit test InventoryReconciliationService (2 TCs: 1N/1A/0B)</t>
        </is>
      </c>
      <c r="H47" s="11" t="inlineStr">
        <is>
          <t>Java JDK 17, DB ready</t>
        </is>
      </c>
    </row>
    <row r="48">
      <c r="A48" s="10" t="n">
        <v>38</v>
      </c>
      <c r="B48" s="11" t="inlineStr">
        <is>
          <t>service</t>
        </is>
      </c>
      <c r="C48" s="11" t="inlineStr">
        <is>
          <t>OnlineCirculationService</t>
        </is>
      </c>
      <c r="D48" s="11" t="inlineStr">
        <is>
          <t>OnlineCirculationServiceTest</t>
        </is>
      </c>
      <c r="E48" s="11" t="inlineStr">
        <is>
          <t>OnlineCirculationServiceTest</t>
        </is>
      </c>
      <c r="F48" s="11" t="inlineStr">
        <is>
          <t>OnlineCirculationServiceTest</t>
        </is>
      </c>
      <c r="G48" s="11" t="inlineStr">
        <is>
          <t>Unit test OnlineCirculationService (27 TCs: 10N/13A/4B)</t>
        </is>
      </c>
      <c r="H48" s="11" t="inlineStr">
        <is>
          <t>Java JDK 17, DB ready</t>
        </is>
      </c>
    </row>
    <row r="49">
      <c r="A49" s="10" t="n">
        <v>39</v>
      </c>
      <c r="B49" s="11" t="inlineStr">
        <is>
          <t>service</t>
        </is>
      </c>
      <c r="C49" s="11" t="inlineStr">
        <is>
          <t>OverdueProcessor</t>
        </is>
      </c>
      <c r="D49" s="11" t="inlineStr">
        <is>
          <t>OverdueProcessorTest</t>
        </is>
      </c>
      <c r="E49" s="11" t="inlineStr">
        <is>
          <t>OverdueProcessorTest</t>
        </is>
      </c>
      <c r="F49" s="11" t="inlineStr">
        <is>
          <t>OverdueProcessorTest</t>
        </is>
      </c>
      <c r="G49" s="11" t="inlineStr">
        <is>
          <t>Unit test OverdueProcessor (2 TCs: 1N/1A/0B)</t>
        </is>
      </c>
      <c r="H49" s="11" t="inlineStr">
        <is>
          <t>Java JDK 17, DB ready</t>
        </is>
      </c>
    </row>
    <row r="50">
      <c r="A50" s="10" t="n">
        <v>40</v>
      </c>
      <c r="B50" s="11" t="inlineStr">
        <is>
          <t>service</t>
        </is>
      </c>
      <c r="C50" s="11" t="inlineStr">
        <is>
          <t>ProfileService</t>
        </is>
      </c>
      <c r="D50" s="11" t="inlineStr">
        <is>
          <t>ProfileServiceTest</t>
        </is>
      </c>
      <c r="E50" s="11" t="inlineStr">
        <is>
          <t>ProfileServiceTest</t>
        </is>
      </c>
      <c r="F50" s="11" t="inlineStr">
        <is>
          <t>ProfileServiceTest</t>
        </is>
      </c>
      <c r="G50" s="11" t="inlineStr">
        <is>
          <t>Unit test ProfileService (7 TCs: 2N/5A/0B)</t>
        </is>
      </c>
      <c r="H50" s="11" t="inlineStr">
        <is>
          <t>Java JDK 17, DB ready</t>
        </is>
      </c>
    </row>
    <row r="51">
      <c r="A51" s="10" t="n">
        <v>41</v>
      </c>
      <c r="B51" s="11" t="inlineStr">
        <is>
          <t>service</t>
        </is>
      </c>
      <c r="C51" s="11" t="inlineStr">
        <is>
          <t>ReservationExpirationProcessor</t>
        </is>
      </c>
      <c r="D51" s="11" t="inlineStr">
        <is>
          <t>ReservationExpirationProcessorTest</t>
        </is>
      </c>
      <c r="E51" s="11" t="inlineStr">
        <is>
          <t>ReservationExpirationProcessorT</t>
        </is>
      </c>
      <c r="F51" s="11" t="inlineStr">
        <is>
          <t>ReservationExpirationProcessorT</t>
        </is>
      </c>
      <c r="G51" s="11" t="inlineStr">
        <is>
          <t>Unit test ReservationExpirationProcessor (3 TCs: 0N/3A/0B)</t>
        </is>
      </c>
      <c r="H51" s="11" t="inlineStr">
        <is>
          <t>Java JDK 17, DB ready</t>
        </is>
      </c>
    </row>
    <row r="52">
      <c r="A52" s="10" t="n">
        <v>42</v>
      </c>
      <c r="B52" s="11" t="inlineStr">
        <is>
          <t>service</t>
        </is>
      </c>
      <c r="C52" s="11" t="inlineStr">
        <is>
          <t>TagService</t>
        </is>
      </c>
      <c r="D52" s="11" t="inlineStr">
        <is>
          <t>TagServiceTest</t>
        </is>
      </c>
      <c r="E52" s="11" t="inlineStr">
        <is>
          <t>TagServiceTest</t>
        </is>
      </c>
      <c r="F52" s="11" t="inlineStr">
        <is>
          <t>TagServiceTest</t>
        </is>
      </c>
      <c r="G52" s="11" t="inlineStr">
        <is>
          <t>Unit test TagService (2 TCs: 1N/1A/0B)</t>
        </is>
      </c>
      <c r="H52" s="11" t="inlineStr">
        <is>
          <t>Java JDK 17, DB ready</t>
        </is>
      </c>
    </row>
    <row r="53">
      <c r="A53" s="10" t="n">
        <v>43</v>
      </c>
      <c r="B53" s="11" t="inlineStr">
        <is>
          <t>service</t>
        </is>
      </c>
      <c r="C53" s="11" t="inlineStr">
        <is>
          <t>UserService</t>
        </is>
      </c>
      <c r="D53" s="11" t="inlineStr">
        <is>
          <t>UserServiceTest</t>
        </is>
      </c>
      <c r="E53" s="11" t="inlineStr">
        <is>
          <t>UserServiceTest</t>
        </is>
      </c>
      <c r="F53" s="11" t="inlineStr">
        <is>
          <t>UserServiceTest</t>
        </is>
      </c>
      <c r="G53" s="11" t="inlineStr">
        <is>
          <t>Unit test UserService (15 TCs: 5N/10A/0B)</t>
        </is>
      </c>
      <c r="H53" s="11" t="inlineStr">
        <is>
          <t>Java JDK 17, DB ready</t>
        </is>
      </c>
    </row>
    <row r="54">
      <c r="A54" s="10" t="n">
        <v>44</v>
      </c>
      <c r="B54" s="11" t="inlineStr">
        <is>
          <t>systemConfig</t>
        </is>
      </c>
      <c r="C54" s="11" t="inlineStr">
        <is>
          <t>SystemConfigService</t>
        </is>
      </c>
      <c r="D54" s="11" t="inlineStr">
        <is>
          <t>SystemConfigServiceTest</t>
        </is>
      </c>
      <c r="E54" s="11" t="inlineStr">
        <is>
          <t>SystemConfigServiceTest</t>
        </is>
      </c>
      <c r="F54" s="11" t="inlineStr">
        <is>
          <t>SystemConfigServiceTest</t>
        </is>
      </c>
      <c r="G54" s="11" t="inlineStr">
        <is>
          <t>Unit test SystemConfigService (9 TCs: 2N/6A/1B)</t>
        </is>
      </c>
      <c r="H54" s="11" t="inlineStr">
        <is>
          <t>Java JDK 17, DB ready</t>
        </is>
      </c>
    </row>
    <row r="55">
      <c r="A55" s="10" t="n">
        <v>45</v>
      </c>
      <c r="B55" s="11" t="inlineStr">
        <is>
          <t>util</t>
        </is>
      </c>
      <c r="C55" s="11" t="inlineStr">
        <is>
          <t>BookImageStorage</t>
        </is>
      </c>
      <c r="D55" s="11" t="inlineStr">
        <is>
          <t>BookImageStorageTest</t>
        </is>
      </c>
      <c r="E55" s="11" t="inlineStr">
        <is>
          <t>BookImageStorageTest</t>
        </is>
      </c>
      <c r="F55" s="11" t="inlineStr">
        <is>
          <t>BookImageStorageTest</t>
        </is>
      </c>
      <c r="G55" s="11" t="inlineStr">
        <is>
          <t>Unit test BookImageStorage (3 TCs: 1N/2A/0B)</t>
        </is>
      </c>
      <c r="H55" s="11" t="inlineStr">
        <is>
          <t>Java JDK 17, DB ready</t>
        </is>
      </c>
    </row>
    <row r="56">
      <c r="A56" s="10" t="n">
        <v>46</v>
      </c>
      <c r="B56" s="11" t="inlineStr">
        <is>
          <t>util</t>
        </is>
      </c>
      <c r="C56" s="11" t="inlineStr">
        <is>
          <t>BookImportWorkbookReader</t>
        </is>
      </c>
      <c r="D56" s="11" t="inlineStr">
        <is>
          <t>BookImportWorkbookReaderTest</t>
        </is>
      </c>
      <c r="E56" s="11" t="inlineStr">
        <is>
          <t>BookImportWorkbookReaderTest</t>
        </is>
      </c>
      <c r="F56" s="11" t="inlineStr">
        <is>
          <t>BookImportWorkbookReaderTest</t>
        </is>
      </c>
      <c r="G56" s="11" t="inlineStr">
        <is>
          <t>Unit test BookImportWorkbookReader (3 TCs: 0N/3A/0B)</t>
        </is>
      </c>
      <c r="H56" s="11" t="inlineStr">
        <is>
          <t>Java JDK 17, DB ready</t>
        </is>
      </c>
    </row>
    <row r="57">
      <c r="A57" s="10" t="n">
        <v>47</v>
      </c>
      <c r="B57" s="11" t="inlineStr">
        <is>
          <t>util</t>
        </is>
      </c>
      <c r="C57" s="11" t="inlineStr">
        <is>
          <t>IsbnValidator</t>
        </is>
      </c>
      <c r="D57" s="11" t="inlineStr">
        <is>
          <t>IsbnValidatorTest</t>
        </is>
      </c>
      <c r="E57" s="11" t="inlineStr">
        <is>
          <t>IsbnValidatorTest</t>
        </is>
      </c>
      <c r="F57" s="11" t="inlineStr">
        <is>
          <t>IsbnValidatorTest</t>
        </is>
      </c>
      <c r="G57" s="11" t="inlineStr">
        <is>
          <t>Unit test IsbnValidator (6 TCs: 3N/3A/0B)</t>
        </is>
      </c>
      <c r="H57" s="11" t="inlineStr">
        <is>
          <t>Java JDK 17, DB ready</t>
        </is>
      </c>
    </row>
  </sheetData>
  <mergeCells count="4">
    <mergeCell ref="E7:H7"/>
    <mergeCell ref="E5:H5"/>
    <mergeCell ref="E2:H2"/>
    <mergeCell ref="E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6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16" customWidth="1" min="9" max="9"/>
  </cols>
  <sheetData>
    <row r="2">
      <c r="A2" s="1" t="inlineStr">
        <is>
          <t>UNIT TEST REPORT</t>
        </is>
      </c>
    </row>
    <row r="4">
      <c r="A4" s="2" t="inlineStr">
        <is>
          <t>Project Name</t>
        </is>
      </c>
      <c r="B4" s="3" t="inlineStr">
        <is>
          <t>LMS - Library Management System</t>
        </is>
      </c>
      <c r="D4" s="2" t="inlineStr">
        <is>
          <t>Creator</t>
        </is>
      </c>
      <c r="E4" s="3" t="inlineStr">
        <is>
          <t>SWP391 Dev Team</t>
        </is>
      </c>
    </row>
    <row r="5">
      <c r="A5" s="2" t="inlineStr">
        <is>
          <t>Project Code</t>
        </is>
      </c>
      <c r="B5" s="3" t="inlineStr">
        <is>
          <t>SWP391_LMS</t>
        </is>
      </c>
      <c r="D5" s="2" t="inlineStr">
        <is>
          <t>Reviewer</t>
        </is>
      </c>
      <c r="E5" s="3" t="inlineStr">
        <is>
          <t>Instructor</t>
        </is>
      </c>
    </row>
    <row r="6">
      <c r="A6" s="2" t="inlineStr">
        <is>
          <t>Document Code</t>
        </is>
      </c>
      <c r="B6" s="3" t="inlineStr">
        <is>
          <t>SWP391_LMS_UT_v1.0</t>
        </is>
      </c>
      <c r="D6" s="2" t="inlineStr">
        <is>
          <t>Issue Date</t>
        </is>
      </c>
      <c r="F6" s="3" t="inlineStr">
        <is>
          <t>12/07/2026</t>
        </is>
      </c>
    </row>
    <row r="7">
      <c r="A7" s="2" t="inlineStr">
        <is>
          <t>Notes</t>
        </is>
      </c>
      <c r="B7" s="3" t="inlineStr">
        <is>
          <t>Release 1: Full LMS</t>
        </is>
      </c>
    </row>
    <row r="11">
      <c r="A11" s="9" t="inlineStr">
        <is>
          <t>No</t>
        </is>
      </c>
      <c r="B11" s="9" t="inlineStr">
        <is>
          <t>Function code</t>
        </is>
      </c>
      <c r="C11" s="9" t="inlineStr">
        <is>
          <t>Passed</t>
        </is>
      </c>
      <c r="D11" s="9" t="inlineStr">
        <is>
          <t>Failed</t>
        </is>
      </c>
      <c r="E11" s="9" t="inlineStr">
        <is>
          <t>Untested</t>
        </is>
      </c>
      <c r="F11" s="9" t="inlineStr">
        <is>
          <t>N</t>
        </is>
      </c>
      <c r="G11" s="9" t="inlineStr">
        <is>
          <t>A</t>
        </is>
      </c>
      <c r="H11" s="9" t="inlineStr">
        <is>
          <t>B</t>
        </is>
      </c>
      <c r="I11" s="9" t="inlineStr">
        <is>
          <t>Total Test Cases</t>
        </is>
      </c>
    </row>
    <row r="12">
      <c r="A12" s="10" t="n">
        <v>1</v>
      </c>
      <c r="B12" s="11" t="inlineStr">
        <is>
          <t>EmailJobTest</t>
        </is>
      </c>
      <c r="C12" s="10" t="n">
        <v>50</v>
      </c>
      <c r="D12" s="10" t="n">
        <v>0</v>
      </c>
      <c r="E12" s="10" t="n">
        <v>0</v>
      </c>
      <c r="F12" s="10" t="n">
        <v>50</v>
      </c>
      <c r="G12" s="10" t="n">
        <v>0</v>
      </c>
      <c r="H12" s="10" t="n">
        <v>0</v>
      </c>
      <c r="I12" s="10" t="n">
        <v>50</v>
      </c>
    </row>
    <row r="13">
      <c r="A13" s="10" t="n">
        <v>2</v>
      </c>
      <c r="B13" s="11" t="inlineStr">
        <is>
          <t>EmailServiceTest</t>
        </is>
      </c>
      <c r="C13" s="10" t="n">
        <v>50</v>
      </c>
      <c r="D13" s="10" t="n">
        <v>0</v>
      </c>
      <c r="E13" s="10" t="n">
        <v>0</v>
      </c>
      <c r="F13" s="10" t="n">
        <v>49</v>
      </c>
      <c r="G13" s="10" t="n">
        <v>1</v>
      </c>
      <c r="H13" s="10" t="n">
        <v>0</v>
      </c>
      <c r="I13" s="10" t="n">
        <v>50</v>
      </c>
    </row>
    <row r="14">
      <c r="A14" s="10" t="n">
        <v>3</v>
      </c>
      <c r="B14" s="11" t="inlineStr">
        <is>
          <t>EmailTriggerIntegrationTest</t>
        </is>
      </c>
      <c r="C14" s="10" t="n">
        <v>50</v>
      </c>
      <c r="D14" s="10" t="n">
        <v>0</v>
      </c>
      <c r="E14" s="10" t="n">
        <v>0</v>
      </c>
      <c r="F14" s="10" t="n">
        <v>50</v>
      </c>
      <c r="G14" s="10" t="n">
        <v>0</v>
      </c>
      <c r="H14" s="10" t="n">
        <v>0</v>
      </c>
      <c r="I14" s="10" t="n">
        <v>50</v>
      </c>
    </row>
    <row r="15">
      <c r="A15" s="10" t="n">
        <v>4</v>
      </c>
      <c r="B15" s="11" t="inlineStr">
        <is>
          <t>EmailWorkerTest</t>
        </is>
      </c>
      <c r="C15" s="10" t="n">
        <v>50</v>
      </c>
      <c r="D15" s="10" t="n">
        <v>0</v>
      </c>
      <c r="E15" s="10" t="n">
        <v>0</v>
      </c>
      <c r="F15" s="10" t="n">
        <v>50</v>
      </c>
      <c r="G15" s="10" t="n">
        <v>0</v>
      </c>
      <c r="H15" s="10" t="n">
        <v>0</v>
      </c>
      <c r="I15" s="10" t="n">
        <v>50</v>
      </c>
    </row>
    <row r="16">
      <c r="A16" s="10" t="n">
        <v>5</v>
      </c>
      <c r="B16" s="11" t="inlineStr">
        <is>
          <t>BookCopyDAOTest</t>
        </is>
      </c>
      <c r="C16" s="10" t="n">
        <v>1</v>
      </c>
      <c r="D16" s="10" t="n">
        <v>0</v>
      </c>
      <c r="E16" s="10" t="n">
        <v>0</v>
      </c>
      <c r="F16" s="10" t="n">
        <v>1</v>
      </c>
      <c r="G16" s="10" t="n">
        <v>0</v>
      </c>
      <c r="H16" s="10" t="n">
        <v>0</v>
      </c>
      <c r="I16" s="10" t="n">
        <v>1</v>
      </c>
    </row>
    <row r="17">
      <c r="A17" s="10" t="n">
        <v>6</v>
      </c>
      <c r="B17" s="11" t="inlineStr">
        <is>
          <t>BookCopyIncidentDAOTest</t>
        </is>
      </c>
      <c r="C17" s="10" t="n">
        <v>2</v>
      </c>
      <c r="D17" s="10" t="n">
        <v>0</v>
      </c>
      <c r="E17" s="10" t="n">
        <v>0</v>
      </c>
      <c r="F17" s="10" t="n">
        <v>2</v>
      </c>
      <c r="G17" s="10" t="n">
        <v>0</v>
      </c>
      <c r="H17" s="10" t="n">
        <v>0</v>
      </c>
      <c r="I17" s="10" t="n">
        <v>2</v>
      </c>
    </row>
    <row r="18">
      <c r="A18" s="10" t="n">
        <v>7</v>
      </c>
      <c r="B18" s="11" t="inlineStr">
        <is>
          <t>BookDAOTest</t>
        </is>
      </c>
      <c r="C18" s="10" t="n">
        <v>1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1</v>
      </c>
      <c r="I18" s="10" t="n">
        <v>1</v>
      </c>
    </row>
    <row r="19">
      <c r="A19" s="10" t="n">
        <v>8</v>
      </c>
      <c r="B19" s="11" t="inlineStr">
        <is>
          <t>BookImportDAOTest</t>
        </is>
      </c>
      <c r="C19" s="10" t="n">
        <v>2</v>
      </c>
      <c r="D19" s="10" t="n">
        <v>0</v>
      </c>
      <c r="E19" s="10" t="n">
        <v>0</v>
      </c>
      <c r="F19" s="10" t="n">
        <v>1</v>
      </c>
      <c r="G19" s="10" t="n">
        <v>1</v>
      </c>
      <c r="H19" s="10" t="n">
        <v>0</v>
      </c>
      <c r="I19" s="10" t="n">
        <v>2</v>
      </c>
    </row>
    <row r="20">
      <c r="A20" s="10" t="n">
        <v>9</v>
      </c>
      <c r="B20" s="11" t="inlineStr">
        <is>
          <t>BorrowRecordDAOTest</t>
        </is>
      </c>
      <c r="C20" s="10" t="n">
        <v>4</v>
      </c>
      <c r="D20" s="10" t="n">
        <v>0</v>
      </c>
      <c r="E20" s="10" t="n">
        <v>0</v>
      </c>
      <c r="F20" s="10" t="n">
        <v>3</v>
      </c>
      <c r="G20" s="10" t="n">
        <v>1</v>
      </c>
      <c r="H20" s="10" t="n">
        <v>0</v>
      </c>
      <c r="I20" s="10" t="n">
        <v>4</v>
      </c>
    </row>
    <row r="21">
      <c r="A21" s="10" t="n">
        <v>10</v>
      </c>
      <c r="B21" s="11" t="inlineStr">
        <is>
          <t>CategoryTagDAOTest</t>
        </is>
      </c>
      <c r="C21" s="10" t="n">
        <v>2</v>
      </c>
      <c r="D21" s="10" t="n">
        <v>0</v>
      </c>
      <c r="E21" s="10" t="n">
        <v>0</v>
      </c>
      <c r="F21" s="10" t="n">
        <v>2</v>
      </c>
      <c r="G21" s="10" t="n">
        <v>0</v>
      </c>
      <c r="H21" s="10" t="n">
        <v>0</v>
      </c>
      <c r="I21" s="10" t="n">
        <v>2</v>
      </c>
    </row>
    <row r="22">
      <c r="A22" s="10" t="n">
        <v>11</v>
      </c>
      <c r="B22" s="11" t="inlineStr">
        <is>
          <t>FineDAOTest</t>
        </is>
      </c>
      <c r="C22" s="10" t="n">
        <v>3</v>
      </c>
      <c r="D22" s="10" t="n">
        <v>0</v>
      </c>
      <c r="E22" s="10" t="n">
        <v>0</v>
      </c>
      <c r="F22" s="10" t="n">
        <v>3</v>
      </c>
      <c r="G22" s="10" t="n">
        <v>0</v>
      </c>
      <c r="H22" s="10" t="n">
        <v>0</v>
      </c>
      <c r="I22" s="10" t="n">
        <v>3</v>
      </c>
    </row>
    <row r="23">
      <c r="A23" s="10" t="n">
        <v>12</v>
      </c>
      <c r="B23" s="11" t="inlineStr">
        <is>
          <t>InventoryDAOTest</t>
        </is>
      </c>
      <c r="C23" s="10" t="n">
        <v>1</v>
      </c>
      <c r="D23" s="10" t="n">
        <v>0</v>
      </c>
      <c r="E23" s="10" t="n">
        <v>0</v>
      </c>
      <c r="F23" s="10" t="n">
        <v>1</v>
      </c>
      <c r="G23" s="10" t="n">
        <v>0</v>
      </c>
      <c r="H23" s="10" t="n">
        <v>0</v>
      </c>
      <c r="I23" s="10" t="n">
        <v>1</v>
      </c>
    </row>
    <row r="24">
      <c r="A24" s="10" t="n">
        <v>13</v>
      </c>
      <c r="B24" s="11" t="inlineStr">
        <is>
          <t>ReservationDAOTest</t>
        </is>
      </c>
      <c r="C24" s="10" t="n">
        <v>3</v>
      </c>
      <c r="D24" s="10" t="n">
        <v>0</v>
      </c>
      <c r="E24" s="10" t="n">
        <v>0</v>
      </c>
      <c r="F24" s="10" t="n">
        <v>2</v>
      </c>
      <c r="G24" s="10" t="n">
        <v>1</v>
      </c>
      <c r="H24" s="10" t="n">
        <v>0</v>
      </c>
      <c r="I24" s="10" t="n">
        <v>3</v>
      </c>
    </row>
    <row r="25">
      <c r="A25" s="10" t="n">
        <v>14</v>
      </c>
      <c r="B25" s="11" t="inlineStr">
        <is>
          <t>UserDAOTest</t>
        </is>
      </c>
      <c r="C25" s="10" t="n">
        <v>4</v>
      </c>
      <c r="D25" s="10" t="n">
        <v>0</v>
      </c>
      <c r="E25" s="10" t="n">
        <v>0</v>
      </c>
      <c r="F25" s="10" t="n">
        <v>3</v>
      </c>
      <c r="G25" s="10" t="n">
        <v>1</v>
      </c>
      <c r="H25" s="10" t="n">
        <v>0</v>
      </c>
      <c r="I25" s="10" t="n">
        <v>4</v>
      </c>
    </row>
    <row r="26">
      <c r="A26" s="10" t="n">
        <v>15</v>
      </c>
      <c r="B26" s="11" t="inlineStr">
        <is>
          <t>AiChatbotServiceIntegrationTest</t>
        </is>
      </c>
      <c r="C26" s="10" t="n">
        <v>31</v>
      </c>
      <c r="D26" s="10" t="n">
        <v>0</v>
      </c>
      <c r="E26" s="10" t="n">
        <v>0</v>
      </c>
      <c r="F26" s="10" t="n">
        <v>31</v>
      </c>
      <c r="G26" s="10" t="n">
        <v>0</v>
      </c>
      <c r="H26" s="10" t="n">
        <v>0</v>
      </c>
      <c r="I26" s="10" t="n">
        <v>31</v>
      </c>
    </row>
    <row r="27">
      <c r="A27" s="10" t="n">
        <v>16</v>
      </c>
      <c r="B27" s="11" t="inlineStr">
        <is>
          <t>AiChatbotServiceUnitTest</t>
        </is>
      </c>
      <c r="C27" s="10" t="n">
        <v>51</v>
      </c>
      <c r="D27" s="10" t="n">
        <v>0</v>
      </c>
      <c r="E27" s="10" t="n">
        <v>0</v>
      </c>
      <c r="F27" s="10" t="n">
        <v>51</v>
      </c>
      <c r="G27" s="10" t="n">
        <v>0</v>
      </c>
      <c r="H27" s="10" t="n">
        <v>0</v>
      </c>
      <c r="I27" s="10" t="n">
        <v>51</v>
      </c>
    </row>
    <row r="28">
      <c r="A28" s="10" t="n">
        <v>17</v>
      </c>
      <c r="B28" s="11" t="inlineStr">
        <is>
          <t>AiChatbotServletTest</t>
        </is>
      </c>
      <c r="C28" s="10" t="n">
        <v>21</v>
      </c>
      <c r="D28" s="10" t="n">
        <v>0</v>
      </c>
      <c r="E28" s="10" t="n">
        <v>0</v>
      </c>
      <c r="F28" s="10" t="n">
        <v>20</v>
      </c>
      <c r="G28" s="10" t="n">
        <v>1</v>
      </c>
      <c r="H28" s="10" t="n">
        <v>0</v>
      </c>
      <c r="I28" s="10" t="n">
        <v>21</v>
      </c>
    </row>
    <row r="29">
      <c r="A29" s="10" t="n">
        <v>18</v>
      </c>
      <c r="B29" s="11" t="inlineStr">
        <is>
          <t>BookSuggestionServiceTest</t>
        </is>
      </c>
      <c r="C29" s="10" t="n">
        <v>201</v>
      </c>
      <c r="D29" s="10" t="n">
        <v>0</v>
      </c>
      <c r="E29" s="10" t="n">
        <v>0</v>
      </c>
      <c r="F29" s="10" t="n">
        <v>193</v>
      </c>
      <c r="G29" s="10" t="n">
        <v>8</v>
      </c>
      <c r="H29" s="10" t="n">
        <v>0</v>
      </c>
      <c r="I29" s="10" t="n">
        <v>201</v>
      </c>
    </row>
    <row r="30">
      <c r="A30" s="10" t="n">
        <v>19</v>
      </c>
      <c r="B30" s="11" t="inlineStr">
        <is>
          <t>F5SystemServletTest</t>
        </is>
      </c>
      <c r="C30" s="10" t="n">
        <v>26</v>
      </c>
      <c r="D30" s="10" t="n">
        <v>0</v>
      </c>
      <c r="E30" s="10" t="n">
        <v>0</v>
      </c>
      <c r="F30" s="10" t="n">
        <v>25</v>
      </c>
      <c r="G30" s="10" t="n">
        <v>1</v>
      </c>
      <c r="H30" s="10" t="n">
        <v>0</v>
      </c>
      <c r="I30" s="10" t="n">
        <v>26</v>
      </c>
    </row>
    <row r="31">
      <c r="A31" s="10" t="n">
        <v>20</v>
      </c>
      <c r="B31" s="11" t="inlineStr">
        <is>
          <t>OnlineCirculationServiceIntegra</t>
        </is>
      </c>
      <c r="C31" s="10" t="n">
        <v>13</v>
      </c>
      <c r="D31" s="10" t="n">
        <v>0</v>
      </c>
      <c r="E31" s="10" t="n">
        <v>0</v>
      </c>
      <c r="F31" s="10" t="n">
        <v>13</v>
      </c>
      <c r="G31" s="10" t="n">
        <v>0</v>
      </c>
      <c r="H31" s="10" t="n">
        <v>0</v>
      </c>
      <c r="I31" s="10" t="n">
        <v>13</v>
      </c>
    </row>
    <row r="32">
      <c r="A32" s="10" t="n">
        <v>21</v>
      </c>
      <c r="B32" s="11" t="inlineStr">
        <is>
          <t>OnlineCirculationServiceUnitTes</t>
        </is>
      </c>
      <c r="C32" s="10" t="n">
        <v>109</v>
      </c>
      <c r="D32" s="10" t="n">
        <v>0</v>
      </c>
      <c r="E32" s="10" t="n">
        <v>0</v>
      </c>
      <c r="F32" s="10" t="n">
        <v>94</v>
      </c>
      <c r="G32" s="10" t="n">
        <v>9</v>
      </c>
      <c r="H32" s="10" t="n">
        <v>6</v>
      </c>
      <c r="I32" s="10" t="n">
        <v>109</v>
      </c>
    </row>
    <row r="33">
      <c r="A33" s="10" t="n">
        <v>22</v>
      </c>
      <c r="B33" s="11" t="inlineStr">
        <is>
          <t>DeskCirculationServiceIntegrati</t>
        </is>
      </c>
      <c r="C33" s="10" t="n">
        <v>31</v>
      </c>
      <c r="D33" s="10" t="n">
        <v>0</v>
      </c>
      <c r="E33" s="10" t="n">
        <v>0</v>
      </c>
      <c r="F33" s="10" t="n">
        <v>28</v>
      </c>
      <c r="G33" s="10" t="n">
        <v>3</v>
      </c>
      <c r="H33" s="10" t="n">
        <v>0</v>
      </c>
      <c r="I33" s="10" t="n">
        <v>31</v>
      </c>
    </row>
    <row r="34">
      <c r="A34" s="10" t="n">
        <v>23</v>
      </c>
      <c r="B34" s="11" t="inlineStr">
        <is>
          <t>DeskCirculationServiceUnitTest</t>
        </is>
      </c>
      <c r="C34" s="10" t="n">
        <v>51</v>
      </c>
      <c r="D34" s="10" t="n">
        <v>0</v>
      </c>
      <c r="E34" s="10" t="n">
        <v>0</v>
      </c>
      <c r="F34" s="10" t="n">
        <v>46</v>
      </c>
      <c r="G34" s="10" t="n">
        <v>5</v>
      </c>
      <c r="H34" s="10" t="n">
        <v>0</v>
      </c>
      <c r="I34" s="10" t="n">
        <v>51</v>
      </c>
    </row>
    <row r="35">
      <c r="A35" s="10" t="n">
        <v>24</v>
      </c>
      <c r="B35" s="11" t="inlineStr">
        <is>
          <t>F6SystemServletTest</t>
        </is>
      </c>
      <c r="C35" s="10" t="n">
        <v>21</v>
      </c>
      <c r="D35" s="10" t="n">
        <v>0</v>
      </c>
      <c r="E35" s="10" t="n">
        <v>0</v>
      </c>
      <c r="F35" s="10" t="n">
        <v>20</v>
      </c>
      <c r="G35" s="10" t="n">
        <v>1</v>
      </c>
      <c r="H35" s="10" t="n">
        <v>0</v>
      </c>
      <c r="I35" s="10" t="n">
        <v>21</v>
      </c>
    </row>
    <row r="36">
      <c r="A36" s="10" t="n">
        <v>25</v>
      </c>
      <c r="B36" s="11" t="inlineStr">
        <is>
          <t>AiConfigTest</t>
        </is>
      </c>
      <c r="C36" s="10" t="n">
        <v>20</v>
      </c>
      <c r="D36" s="10" t="n">
        <v>0</v>
      </c>
      <c r="E36" s="10" t="n">
        <v>0</v>
      </c>
      <c r="F36" s="10" t="n">
        <v>20</v>
      </c>
      <c r="G36" s="10" t="n">
        <v>0</v>
      </c>
      <c r="H36" s="10" t="n">
        <v>0</v>
      </c>
      <c r="I36" s="10" t="n">
        <v>20</v>
      </c>
    </row>
    <row r="37">
      <c r="A37" s="10" t="n">
        <v>26</v>
      </c>
      <c r="B37" s="11" t="inlineStr">
        <is>
          <t>AiRecommendationServiceTest</t>
        </is>
      </c>
      <c r="C37" s="10" t="n">
        <v>45</v>
      </c>
      <c r="D37" s="10" t="n">
        <v>0</v>
      </c>
      <c r="E37" s="10" t="n">
        <v>0</v>
      </c>
      <c r="F37" s="10" t="n">
        <v>42</v>
      </c>
      <c r="G37" s="10" t="n">
        <v>3</v>
      </c>
      <c r="H37" s="10" t="n">
        <v>0</v>
      </c>
      <c r="I37" s="10" t="n">
        <v>45</v>
      </c>
    </row>
    <row r="38">
      <c r="A38" s="10" t="n">
        <v>27</v>
      </c>
      <c r="B38" s="11" t="inlineStr">
        <is>
          <t>BookDAOTest_26</t>
        </is>
      </c>
      <c r="C38" s="10" t="n">
        <v>63</v>
      </c>
      <c r="D38" s="10" t="n">
        <v>0</v>
      </c>
      <c r="E38" s="10" t="n">
        <v>0</v>
      </c>
      <c r="F38" s="10" t="n">
        <v>63</v>
      </c>
      <c r="G38" s="10" t="n">
        <v>0</v>
      </c>
      <c r="H38" s="10" t="n">
        <v>0</v>
      </c>
      <c r="I38" s="10" t="n">
        <v>63</v>
      </c>
    </row>
    <row r="39">
      <c r="A39" s="10" t="n">
        <v>28</v>
      </c>
      <c r="B39" s="11" t="inlineStr">
        <is>
          <t>BookDiscoverySystemTest</t>
        </is>
      </c>
      <c r="C39" s="10" t="n">
        <v>21</v>
      </c>
      <c r="D39" s="10" t="n">
        <v>0</v>
      </c>
      <c r="E39" s="10" t="n">
        <v>0</v>
      </c>
      <c r="F39" s="10" t="n">
        <v>21</v>
      </c>
      <c r="G39" s="10" t="n">
        <v>0</v>
      </c>
      <c r="H39" s="10" t="n">
        <v>0</v>
      </c>
      <c r="I39" s="10" t="n">
        <v>21</v>
      </c>
    </row>
    <row r="40">
      <c r="A40" s="10" t="n">
        <v>29</v>
      </c>
      <c r="B40" s="11" t="inlineStr">
        <is>
          <t>BookServletsTest</t>
        </is>
      </c>
      <c r="C40" s="10" t="n">
        <v>22</v>
      </c>
      <c r="D40" s="10" t="n">
        <v>0</v>
      </c>
      <c r="E40" s="10" t="n">
        <v>0</v>
      </c>
      <c r="F40" s="10" t="n">
        <v>16</v>
      </c>
      <c r="G40" s="10" t="n">
        <v>6</v>
      </c>
      <c r="H40" s="10" t="n">
        <v>0</v>
      </c>
      <c r="I40" s="10" t="n">
        <v>22</v>
      </c>
    </row>
    <row r="41">
      <c r="A41" s="10" t="n">
        <v>30</v>
      </c>
      <c r="B41" s="11" t="inlineStr">
        <is>
          <t>RecommendationServletTest</t>
        </is>
      </c>
      <c r="C41" s="10" t="n">
        <v>45</v>
      </c>
      <c r="D41" s="10" t="n">
        <v>0</v>
      </c>
      <c r="E41" s="10" t="n">
        <v>0</v>
      </c>
      <c r="F41" s="10" t="n">
        <v>44</v>
      </c>
      <c r="G41" s="10" t="n">
        <v>1</v>
      </c>
      <c r="H41" s="10" t="n">
        <v>0</v>
      </c>
      <c r="I41" s="10" t="n">
        <v>45</v>
      </c>
    </row>
    <row r="42">
      <c r="A42" s="10" t="n">
        <v>31</v>
      </c>
      <c r="B42" s="11" t="inlineStr">
        <is>
          <t>AuthServiceTest</t>
        </is>
      </c>
      <c r="C42" s="10" t="n">
        <v>11</v>
      </c>
      <c r="D42" s="10" t="n">
        <v>0</v>
      </c>
      <c r="E42" s="10" t="n">
        <v>0</v>
      </c>
      <c r="F42" s="10" t="n">
        <v>3</v>
      </c>
      <c r="G42" s="10" t="n">
        <v>7</v>
      </c>
      <c r="H42" s="10" t="n">
        <v>1</v>
      </c>
      <c r="I42" s="10" t="n">
        <v>11</v>
      </c>
    </row>
    <row r="43">
      <c r="A43" s="10" t="n">
        <v>32</v>
      </c>
      <c r="B43" s="11" t="inlineStr">
        <is>
          <t>BookCopyIncidentServiceTest</t>
        </is>
      </c>
      <c r="C43" s="10" t="n">
        <v>5</v>
      </c>
      <c r="D43" s="10" t="n">
        <v>0</v>
      </c>
      <c r="E43" s="10" t="n">
        <v>0</v>
      </c>
      <c r="F43" s="10" t="n">
        <v>1</v>
      </c>
      <c r="G43" s="10" t="n">
        <v>4</v>
      </c>
      <c r="H43" s="10" t="n">
        <v>0</v>
      </c>
      <c r="I43" s="10" t="n">
        <v>5</v>
      </c>
    </row>
    <row r="44">
      <c r="A44" s="10" t="n">
        <v>33</v>
      </c>
      <c r="B44" s="11" t="inlineStr">
        <is>
          <t>BookCopyServiceTest</t>
        </is>
      </c>
      <c r="C44" s="10" t="n">
        <v>3</v>
      </c>
      <c r="D44" s="10" t="n">
        <v>0</v>
      </c>
      <c r="E44" s="10" t="n">
        <v>0</v>
      </c>
      <c r="F44" s="10" t="n">
        <v>2</v>
      </c>
      <c r="G44" s="10" t="n">
        <v>1</v>
      </c>
      <c r="H44" s="10" t="n">
        <v>0</v>
      </c>
      <c r="I44" s="10" t="n">
        <v>3</v>
      </c>
    </row>
    <row r="45">
      <c r="A45" s="10" t="n">
        <v>34</v>
      </c>
      <c r="B45" s="11" t="inlineStr">
        <is>
          <t>BookImportServiceTest</t>
        </is>
      </c>
      <c r="C45" s="10" t="n">
        <v>4</v>
      </c>
      <c r="D45" s="10" t="n">
        <v>0</v>
      </c>
      <c r="E45" s="10" t="n">
        <v>0</v>
      </c>
      <c r="F45" s="10" t="n">
        <v>2</v>
      </c>
      <c r="G45" s="10" t="n">
        <v>2</v>
      </c>
      <c r="H45" s="10" t="n">
        <v>0</v>
      </c>
      <c r="I45" s="10" t="n">
        <v>4</v>
      </c>
    </row>
    <row r="46">
      <c r="A46" s="10" t="n">
        <v>35</v>
      </c>
      <c r="B46" s="11" t="inlineStr">
        <is>
          <t>BookServiceTest</t>
        </is>
      </c>
      <c r="C46" s="10" t="n">
        <v>6</v>
      </c>
      <c r="D46" s="10" t="n">
        <v>0</v>
      </c>
      <c r="E46" s="10" t="n">
        <v>0</v>
      </c>
      <c r="F46" s="10" t="n">
        <v>2</v>
      </c>
      <c r="G46" s="10" t="n">
        <v>4</v>
      </c>
      <c r="H46" s="10" t="n">
        <v>0</v>
      </c>
      <c r="I46" s="10" t="n">
        <v>6</v>
      </c>
    </row>
    <row r="47">
      <c r="A47" s="10" t="n">
        <v>36</v>
      </c>
      <c r="B47" s="11" t="inlineStr">
        <is>
          <t>CategoryServiceTest</t>
        </is>
      </c>
      <c r="C47" s="10" t="n">
        <v>2</v>
      </c>
      <c r="D47" s="10" t="n">
        <v>0</v>
      </c>
      <c r="E47" s="10" t="n">
        <v>0</v>
      </c>
      <c r="F47" s="10" t="n">
        <v>1</v>
      </c>
      <c r="G47" s="10" t="n">
        <v>1</v>
      </c>
      <c r="H47" s="10" t="n">
        <v>0</v>
      </c>
      <c r="I47" s="10" t="n">
        <v>2</v>
      </c>
    </row>
    <row r="48">
      <c r="A48" s="10" t="n">
        <v>37</v>
      </c>
      <c r="B48" s="11" t="inlineStr">
        <is>
          <t>InventoryReconciliationServiceT</t>
        </is>
      </c>
      <c r="C48" s="10" t="n">
        <v>2</v>
      </c>
      <c r="D48" s="10" t="n">
        <v>0</v>
      </c>
      <c r="E48" s="10" t="n">
        <v>0</v>
      </c>
      <c r="F48" s="10" t="n">
        <v>1</v>
      </c>
      <c r="G48" s="10" t="n">
        <v>1</v>
      </c>
      <c r="H48" s="10" t="n">
        <v>0</v>
      </c>
      <c r="I48" s="10" t="n">
        <v>2</v>
      </c>
    </row>
    <row r="49">
      <c r="A49" s="10" t="n">
        <v>38</v>
      </c>
      <c r="B49" s="11" t="inlineStr">
        <is>
          <t>OnlineCirculationServiceTest</t>
        </is>
      </c>
      <c r="C49" s="10" t="n">
        <v>27</v>
      </c>
      <c r="D49" s="10" t="n">
        <v>0</v>
      </c>
      <c r="E49" s="10" t="n">
        <v>0</v>
      </c>
      <c r="F49" s="10" t="n">
        <v>10</v>
      </c>
      <c r="G49" s="10" t="n">
        <v>13</v>
      </c>
      <c r="H49" s="10" t="n">
        <v>4</v>
      </c>
      <c r="I49" s="10" t="n">
        <v>27</v>
      </c>
    </row>
    <row r="50">
      <c r="A50" s="10" t="n">
        <v>39</v>
      </c>
      <c r="B50" s="11" t="inlineStr">
        <is>
          <t>OverdueProcessorTest</t>
        </is>
      </c>
      <c r="C50" s="10" t="n">
        <v>2</v>
      </c>
      <c r="D50" s="10" t="n">
        <v>0</v>
      </c>
      <c r="E50" s="10" t="n">
        <v>0</v>
      </c>
      <c r="F50" s="10" t="n">
        <v>1</v>
      </c>
      <c r="G50" s="10" t="n">
        <v>1</v>
      </c>
      <c r="H50" s="10" t="n">
        <v>0</v>
      </c>
      <c r="I50" s="10" t="n">
        <v>2</v>
      </c>
    </row>
    <row r="51">
      <c r="A51" s="10" t="n">
        <v>40</v>
      </c>
      <c r="B51" s="11" t="inlineStr">
        <is>
          <t>ProfileServiceTest</t>
        </is>
      </c>
      <c r="C51" s="10" t="n">
        <v>7</v>
      </c>
      <c r="D51" s="10" t="n">
        <v>0</v>
      </c>
      <c r="E51" s="10" t="n">
        <v>0</v>
      </c>
      <c r="F51" s="10" t="n">
        <v>2</v>
      </c>
      <c r="G51" s="10" t="n">
        <v>5</v>
      </c>
      <c r="H51" s="10" t="n">
        <v>0</v>
      </c>
      <c r="I51" s="10" t="n">
        <v>7</v>
      </c>
    </row>
    <row r="52">
      <c r="A52" s="10" t="n">
        <v>41</v>
      </c>
      <c r="B52" s="11" t="inlineStr">
        <is>
          <t>ReservationExpirationProcessorT</t>
        </is>
      </c>
      <c r="C52" s="10" t="n">
        <v>3</v>
      </c>
      <c r="D52" s="10" t="n">
        <v>0</v>
      </c>
      <c r="E52" s="10" t="n">
        <v>0</v>
      </c>
      <c r="F52" s="10" t="n">
        <v>0</v>
      </c>
      <c r="G52" s="10" t="n">
        <v>3</v>
      </c>
      <c r="H52" s="10" t="n">
        <v>0</v>
      </c>
      <c r="I52" s="10" t="n">
        <v>3</v>
      </c>
    </row>
    <row r="53">
      <c r="A53" s="10" t="n">
        <v>42</v>
      </c>
      <c r="B53" s="11" t="inlineStr">
        <is>
          <t>TagServiceTest</t>
        </is>
      </c>
      <c r="C53" s="10" t="n">
        <v>2</v>
      </c>
      <c r="D53" s="10" t="n">
        <v>0</v>
      </c>
      <c r="E53" s="10" t="n">
        <v>0</v>
      </c>
      <c r="F53" s="10" t="n">
        <v>1</v>
      </c>
      <c r="G53" s="10" t="n">
        <v>1</v>
      </c>
      <c r="H53" s="10" t="n">
        <v>0</v>
      </c>
      <c r="I53" s="10" t="n">
        <v>2</v>
      </c>
    </row>
    <row r="54">
      <c r="A54" s="10" t="n">
        <v>43</v>
      </c>
      <c r="B54" s="11" t="inlineStr">
        <is>
          <t>UserServiceTest</t>
        </is>
      </c>
      <c r="C54" s="10" t="n">
        <v>15</v>
      </c>
      <c r="D54" s="10" t="n">
        <v>0</v>
      </c>
      <c r="E54" s="10" t="n">
        <v>0</v>
      </c>
      <c r="F54" s="10" t="n">
        <v>5</v>
      </c>
      <c r="G54" s="10" t="n">
        <v>10</v>
      </c>
      <c r="H54" s="10" t="n">
        <v>0</v>
      </c>
      <c r="I54" s="10" t="n">
        <v>15</v>
      </c>
    </row>
    <row r="55">
      <c r="A55" s="10" t="n">
        <v>44</v>
      </c>
      <c r="B55" s="11" t="inlineStr">
        <is>
          <t>SystemConfigServiceTest</t>
        </is>
      </c>
      <c r="C55" s="10" t="n">
        <v>9</v>
      </c>
      <c r="D55" s="10" t="n">
        <v>0</v>
      </c>
      <c r="E55" s="10" t="n">
        <v>0</v>
      </c>
      <c r="F55" s="10" t="n">
        <v>2</v>
      </c>
      <c r="G55" s="10" t="n">
        <v>6</v>
      </c>
      <c r="H55" s="10" t="n">
        <v>1</v>
      </c>
      <c r="I55" s="10" t="n">
        <v>9</v>
      </c>
    </row>
    <row r="56">
      <c r="A56" s="10" t="n">
        <v>45</v>
      </c>
      <c r="B56" s="11" t="inlineStr">
        <is>
          <t>BookImageStorageTest</t>
        </is>
      </c>
      <c r="C56" s="10" t="n">
        <v>3</v>
      </c>
      <c r="D56" s="10" t="n">
        <v>0</v>
      </c>
      <c r="E56" s="10" t="n">
        <v>0</v>
      </c>
      <c r="F56" s="10" t="n">
        <v>1</v>
      </c>
      <c r="G56" s="10" t="n">
        <v>2</v>
      </c>
      <c r="H56" s="10" t="n">
        <v>0</v>
      </c>
      <c r="I56" s="10" t="n">
        <v>3</v>
      </c>
    </row>
    <row r="57">
      <c r="A57" s="10" t="n">
        <v>46</v>
      </c>
      <c r="B57" s="11" t="inlineStr">
        <is>
          <t>BookImportWorkbookReaderTest</t>
        </is>
      </c>
      <c r="C57" s="10" t="n">
        <v>3</v>
      </c>
      <c r="D57" s="10" t="n">
        <v>0</v>
      </c>
      <c r="E57" s="10" t="n">
        <v>0</v>
      </c>
      <c r="F57" s="10" t="n">
        <v>0</v>
      </c>
      <c r="G57" s="10" t="n">
        <v>3</v>
      </c>
      <c r="H57" s="10" t="n">
        <v>0</v>
      </c>
      <c r="I57" s="10" t="n">
        <v>3</v>
      </c>
    </row>
    <row r="58">
      <c r="A58" s="10" t="n">
        <v>47</v>
      </c>
      <c r="B58" s="11" t="inlineStr">
        <is>
          <t>IsbnValidatorTest</t>
        </is>
      </c>
      <c r="C58" s="10" t="n">
        <v>6</v>
      </c>
      <c r="D58" s="10" t="n">
        <v>0</v>
      </c>
      <c r="E58" s="10" t="n">
        <v>0</v>
      </c>
      <c r="F58" s="10" t="n">
        <v>3</v>
      </c>
      <c r="G58" s="10" t="n">
        <v>3</v>
      </c>
      <c r="H58" s="10" t="n">
        <v>0</v>
      </c>
      <c r="I58" s="10" t="n">
        <v>6</v>
      </c>
    </row>
    <row r="60">
      <c r="A60" s="4" t="n"/>
      <c r="B60" s="12" t="inlineStr">
        <is>
          <t>Sub total</t>
        </is>
      </c>
      <c r="C60" s="12">
        <f>SUM(C12:C58)</f>
        <v/>
      </c>
      <c r="D60" s="12">
        <f>SUM(D12:D58)</f>
        <v/>
      </c>
      <c r="E60" s="12">
        <f>SUM(E12:E58)</f>
        <v/>
      </c>
      <c r="F60" s="12">
        <f>SUM(F12:F58)</f>
        <v/>
      </c>
      <c r="G60" s="12">
        <f>SUM(G12:G58)</f>
        <v/>
      </c>
      <c r="H60" s="12">
        <f>SUM(H12:H58)</f>
        <v/>
      </c>
      <c r="I60" s="12">
        <f>SUM(I12:I58)</f>
        <v/>
      </c>
    </row>
    <row r="62">
      <c r="A62" s="4" t="n"/>
      <c r="B62" s="13" t="inlineStr">
        <is>
          <t>Test coverage</t>
        </is>
      </c>
      <c r="C62" s="4" t="n"/>
      <c r="D62" s="14">
        <f>IF(I60=0,"N/A",(C60+D60)/I60*100)</f>
        <v/>
      </c>
      <c r="E62" s="3" t="inlineStr">
        <is>
          <t>%</t>
        </is>
      </c>
      <c r="F62" s="4" t="n"/>
      <c r="G62" s="4" t="n"/>
      <c r="H62" s="4" t="n"/>
      <c r="I62" s="4" t="n"/>
    </row>
    <row r="63">
      <c r="A63" s="4" t="n"/>
      <c r="B63" s="13" t="inlineStr">
        <is>
          <t>Test successful coverage</t>
        </is>
      </c>
      <c r="C63" s="4" t="n"/>
      <c r="D63" s="14">
        <f>IF(I60=0,"N/A",C60/I60*100)</f>
        <v/>
      </c>
      <c r="E63" s="3" t="inlineStr">
        <is>
          <t>%</t>
        </is>
      </c>
      <c r="F63" s="4" t="n"/>
      <c r="G63" s="4" t="n"/>
      <c r="H63" s="4" t="n"/>
      <c r="I63" s="4" t="n"/>
    </row>
    <row r="64">
      <c r="A64" s="4" t="n"/>
      <c r="B64" s="13" t="inlineStr">
        <is>
          <t>Normal case</t>
        </is>
      </c>
      <c r="C64" s="4" t="n"/>
      <c r="D64" s="14">
        <f>IF(I60=0,"N/A",F60/I60*100)</f>
        <v/>
      </c>
      <c r="E64" s="3" t="inlineStr">
        <is>
          <t>%</t>
        </is>
      </c>
      <c r="F64" s="4" t="n"/>
      <c r="G64" s="4" t="n"/>
      <c r="H64" s="4" t="n"/>
      <c r="I64" s="4" t="n"/>
    </row>
    <row r="65">
      <c r="A65" s="4" t="n"/>
      <c r="B65" s="13" t="inlineStr">
        <is>
          <t>Abnormal case</t>
        </is>
      </c>
      <c r="C65" s="4" t="n"/>
      <c r="D65" s="14">
        <f>IF(I60=0,"N/A",G60/I60*100)</f>
        <v/>
      </c>
      <c r="E65" s="3" t="inlineStr">
        <is>
          <t>%</t>
        </is>
      </c>
      <c r="F65" s="4" t="n"/>
      <c r="G65" s="4" t="n"/>
      <c r="H65" s="4" t="n"/>
      <c r="I65" s="4" t="n"/>
    </row>
    <row r="66">
      <c r="A66" s="4" t="n"/>
      <c r="B66" s="13" t="inlineStr">
        <is>
          <t>Boundary case</t>
        </is>
      </c>
      <c r="C66" s="4" t="n"/>
      <c r="D66" s="14">
        <f>IF(I60=0,"N/A",H60/I60*100)</f>
        <v/>
      </c>
      <c r="E66" s="3" t="inlineStr">
        <is>
          <t>%</t>
        </is>
      </c>
      <c r="F66" s="4" t="n"/>
      <c r="G66" s="4" t="n"/>
      <c r="H66" s="4" t="n"/>
      <c r="I66" s="4" t="n"/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C3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</cols>
  <sheetData>
    <row r="2">
      <c r="A2" s="15" t="inlineStr">
        <is>
          <t>Function Code</t>
        </is>
      </c>
      <c r="B2" s="16" t="n"/>
      <c r="C2" s="17" t="inlineStr">
        <is>
          <t>EmailJobTest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EmailJob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</row>
    <row r="4">
      <c r="A4" s="15" t="inlineStr">
        <is>
          <t>Lines  of code</t>
        </is>
      </c>
      <c r="B4" s="16" t="n"/>
      <c r="C4" s="17" t="n">
        <v>100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</row>
    <row r="5">
      <c r="A5" s="15" t="inlineStr">
        <is>
          <t>Test requirement</t>
        </is>
      </c>
      <c r="B5" s="16" t="n"/>
      <c r="C5" s="17" t="inlineStr">
        <is>
          <t>Unit test for EmailJob (asyncEmailSender)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</row>
    <row r="7">
      <c r="A7" s="20">
        <f>COUNTIF(F36:BC36,"P")</f>
        <v/>
      </c>
      <c r="B7" s="4" t="n"/>
      <c r="C7" s="20">
        <f>COUNTIF(F36:BC36,"F")</f>
        <v/>
      </c>
      <c r="D7" s="4" t="n"/>
      <c r="E7" s="4" t="n"/>
      <c r="F7" s="20">
        <f>50-A7-C7</f>
        <v/>
      </c>
      <c r="G7" s="4" t="n"/>
      <c r="H7" s="4" t="n"/>
      <c r="I7" s="4" t="n"/>
      <c r="J7" s="4" t="n"/>
      <c r="K7" s="4" t="n"/>
      <c r="L7" s="17">
        <f>COUNTIF(F35:BC35,"N")</f>
        <v/>
      </c>
      <c r="M7" s="17">
        <f>COUNTIF(F35:BC35,"A")</f>
        <v/>
      </c>
      <c r="N7" s="17">
        <f>COUNTIF(F35:BC35,"B")</f>
        <v/>
      </c>
      <c r="O7" s="20" t="n">
        <v>50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</row>
    <row r="14">
      <c r="A14" s="16" t="n"/>
      <c r="B14" s="18" t="inlineStr">
        <is>
          <t>email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</row>
    <row r="17">
      <c r="A17" s="16" t="n"/>
      <c r="B17" s="18" t="inlineStr">
        <is>
          <t>subject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</row>
    <row r="20">
      <c r="A20" s="16" t="n"/>
      <c r="B20" s="18" t="inlineStr">
        <is>
          <t>body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</row>
    <row r="23">
      <c r="A23" s="16" t="n"/>
      <c r="B23" s="18" t="inlineStr">
        <is>
          <t>index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  <c r="AY24" s="24" t="inlineStr">
        <is>
          <t>O</t>
        </is>
      </c>
      <c r="AZ24" s="24" t="inlineStr">
        <is>
          <t>O</t>
        </is>
      </c>
      <c r="BA24" s="24" t="inlineStr">
        <is>
          <t>O</t>
        </is>
      </c>
      <c r="BB24" s="24" t="inlineStr">
        <is>
          <t>O</t>
        </is>
      </c>
      <c r="BC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</row>
    <row r="27">
      <c r="A27" s="15" t="inlineStr">
        <is>
          <t>Confirm</t>
        </is>
      </c>
      <c r="B27" s="18" t="inlineStr">
        <is>
          <t>Return</t>
        </is>
      </c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</row>
    <row r="28">
      <c r="A28" s="16" t="n"/>
      <c r="B28" s="19" t="n"/>
      <c r="C28" s="19" t="n"/>
      <c r="D28" s="23" t="inlineStr">
        <is>
          <t>Assertion verified</t>
        </is>
      </c>
      <c r="E28" s="22" t="n"/>
      <c r="F28" s="24" t="inlineStr">
        <is>
          <t>O</t>
        </is>
      </c>
      <c r="G28" s="24" t="inlineStr">
        <is>
          <t>O</t>
        </is>
      </c>
      <c r="H28" s="24" t="inlineStr">
        <is>
          <t>O</t>
        </is>
      </c>
      <c r="I28" s="24" t="inlineStr">
        <is>
          <t>O</t>
        </is>
      </c>
      <c r="J28" s="24" t="inlineStr">
        <is>
          <t>O</t>
        </is>
      </c>
      <c r="K28" s="24" t="inlineStr">
        <is>
          <t>O</t>
        </is>
      </c>
      <c r="L28" s="24" t="inlineStr">
        <is>
          <t>O</t>
        </is>
      </c>
      <c r="M28" s="24" t="inlineStr">
        <is>
          <t>O</t>
        </is>
      </c>
      <c r="N28" s="24" t="inlineStr">
        <is>
          <t>O</t>
        </is>
      </c>
      <c r="O28" s="24" t="inlineStr">
        <is>
          <t>O</t>
        </is>
      </c>
      <c r="P28" s="24" t="inlineStr">
        <is>
          <t>O</t>
        </is>
      </c>
      <c r="Q28" s="24" t="inlineStr">
        <is>
          <t>O</t>
        </is>
      </c>
      <c r="R28" s="24" t="inlineStr">
        <is>
          <t>O</t>
        </is>
      </c>
      <c r="S28" s="24" t="inlineStr">
        <is>
          <t>O</t>
        </is>
      </c>
      <c r="T28" s="24" t="inlineStr">
        <is>
          <t>O</t>
        </is>
      </c>
      <c r="U28" s="24" t="inlineStr">
        <is>
          <t>O</t>
        </is>
      </c>
      <c r="V28" s="24" t="inlineStr">
        <is>
          <t>O</t>
        </is>
      </c>
      <c r="W28" s="24" t="inlineStr">
        <is>
          <t>O</t>
        </is>
      </c>
      <c r="X28" s="24" t="inlineStr">
        <is>
          <t>O</t>
        </is>
      </c>
      <c r="Y28" s="24" t="inlineStr">
        <is>
          <t>O</t>
        </is>
      </c>
      <c r="Z28" s="24" t="inlineStr">
        <is>
          <t>O</t>
        </is>
      </c>
      <c r="AA28" s="24" t="inlineStr">
        <is>
          <t>O</t>
        </is>
      </c>
      <c r="AB28" s="24" t="inlineStr">
        <is>
          <t>O</t>
        </is>
      </c>
      <c r="AC28" s="24" t="inlineStr">
        <is>
          <t>O</t>
        </is>
      </c>
      <c r="AD28" s="24" t="inlineStr">
        <is>
          <t>O</t>
        </is>
      </c>
      <c r="AE28" s="24" t="inlineStr">
        <is>
          <t>O</t>
        </is>
      </c>
      <c r="AF28" s="24" t="inlineStr">
        <is>
          <t>O</t>
        </is>
      </c>
      <c r="AG28" s="24" t="inlineStr">
        <is>
          <t>O</t>
        </is>
      </c>
      <c r="AH28" s="24" t="inlineStr">
        <is>
          <t>O</t>
        </is>
      </c>
      <c r="AI28" s="24" t="inlineStr">
        <is>
          <t>O</t>
        </is>
      </c>
      <c r="AJ28" s="24" t="inlineStr">
        <is>
          <t>O</t>
        </is>
      </c>
      <c r="AK28" s="24" t="inlineStr">
        <is>
          <t>O</t>
        </is>
      </c>
      <c r="AL28" s="24" t="inlineStr">
        <is>
          <t>O</t>
        </is>
      </c>
      <c r="AM28" s="24" t="inlineStr">
        <is>
          <t>O</t>
        </is>
      </c>
      <c r="AN28" s="24" t="inlineStr">
        <is>
          <t>O</t>
        </is>
      </c>
      <c r="AO28" s="24" t="inlineStr">
        <is>
          <t>O</t>
        </is>
      </c>
      <c r="AP28" s="24" t="inlineStr">
        <is>
          <t>O</t>
        </is>
      </c>
      <c r="AQ28" s="24" t="inlineStr">
        <is>
          <t>O</t>
        </is>
      </c>
      <c r="AR28" s="24" t="inlineStr">
        <is>
          <t>O</t>
        </is>
      </c>
      <c r="AS28" s="24" t="inlineStr">
        <is>
          <t>O</t>
        </is>
      </c>
      <c r="AT28" s="24" t="inlineStr">
        <is>
          <t>O</t>
        </is>
      </c>
      <c r="AU28" s="24" t="inlineStr">
        <is>
          <t>O</t>
        </is>
      </c>
      <c r="AV28" s="24" t="inlineStr">
        <is>
          <t>O</t>
        </is>
      </c>
      <c r="AW28" s="24" t="inlineStr">
        <is>
          <t>O</t>
        </is>
      </c>
      <c r="AX28" s="24" t="inlineStr">
        <is>
          <t>O</t>
        </is>
      </c>
      <c r="AY28" s="24" t="inlineStr">
        <is>
          <t>O</t>
        </is>
      </c>
      <c r="AZ28" s="24" t="inlineStr">
        <is>
          <t>O</t>
        </is>
      </c>
      <c r="BA28" s="24" t="inlineStr">
        <is>
          <t>O</t>
        </is>
      </c>
      <c r="BB28" s="24" t="inlineStr">
        <is>
          <t>O</t>
        </is>
      </c>
      <c r="BC28" s="24" t="inlineStr">
        <is>
          <t>O</t>
        </is>
      </c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</row>
    <row r="30">
      <c r="A30" s="16" t="n"/>
      <c r="B30" s="18" t="inlineStr">
        <is>
          <t>Exception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</row>
    <row r="32">
      <c r="A32" s="16" t="n"/>
      <c r="B32" s="18" t="inlineStr">
        <is>
          <t>Log message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</row>
    <row r="33">
      <c r="A33" s="16" t="n"/>
      <c r="B33" s="19" t="n"/>
      <c r="C33" s="19" t="n"/>
      <c r="D33" s="19" t="n"/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</row>
    <row r="35">
      <c r="A35" s="15" t="inlineStr">
        <is>
          <t>Result</t>
        </is>
      </c>
      <c r="B35" s="17" t="inlineStr">
        <is>
          <t>Type(N : Normal, A : Abnormal, B : Boundary)</t>
        </is>
      </c>
      <c r="C35" s="4" t="n"/>
      <c r="D35" s="4" t="n"/>
      <c r="E35" s="4" t="n"/>
      <c r="F35" s="25" t="inlineStr">
        <is>
          <t>N</t>
        </is>
      </c>
      <c r="G35" s="25" t="inlineStr">
        <is>
          <t>N</t>
        </is>
      </c>
      <c r="H35" s="25" t="inlineStr">
        <is>
          <t>N</t>
        </is>
      </c>
      <c r="I35" s="25" t="inlineStr">
        <is>
          <t>N</t>
        </is>
      </c>
      <c r="J35" s="25" t="inlineStr">
        <is>
          <t>N</t>
        </is>
      </c>
      <c r="K35" s="25" t="inlineStr">
        <is>
          <t>N</t>
        </is>
      </c>
      <c r="L35" s="25" t="inlineStr">
        <is>
          <t>N</t>
        </is>
      </c>
      <c r="M35" s="25" t="inlineStr">
        <is>
          <t>N</t>
        </is>
      </c>
      <c r="N35" s="25" t="inlineStr">
        <is>
          <t>N</t>
        </is>
      </c>
      <c r="O35" s="25" t="inlineStr">
        <is>
          <t>N</t>
        </is>
      </c>
      <c r="P35" s="25" t="inlineStr">
        <is>
          <t>N</t>
        </is>
      </c>
      <c r="Q35" s="25" t="inlineStr">
        <is>
          <t>N</t>
        </is>
      </c>
      <c r="R35" s="25" t="inlineStr">
        <is>
          <t>N</t>
        </is>
      </c>
      <c r="S35" s="25" t="inlineStr">
        <is>
          <t>N</t>
        </is>
      </c>
      <c r="T35" s="25" t="inlineStr">
        <is>
          <t>N</t>
        </is>
      </c>
      <c r="U35" s="25" t="inlineStr">
        <is>
          <t>N</t>
        </is>
      </c>
      <c r="V35" s="25" t="inlineStr">
        <is>
          <t>N</t>
        </is>
      </c>
      <c r="W35" s="25" t="inlineStr">
        <is>
          <t>N</t>
        </is>
      </c>
      <c r="X35" s="25" t="inlineStr">
        <is>
          <t>N</t>
        </is>
      </c>
      <c r="Y35" s="25" t="inlineStr">
        <is>
          <t>N</t>
        </is>
      </c>
      <c r="Z35" s="25" t="inlineStr">
        <is>
          <t>N</t>
        </is>
      </c>
      <c r="AA35" s="25" t="inlineStr">
        <is>
          <t>N</t>
        </is>
      </c>
      <c r="AB35" s="25" t="inlineStr">
        <is>
          <t>N</t>
        </is>
      </c>
      <c r="AC35" s="25" t="inlineStr">
        <is>
          <t>N</t>
        </is>
      </c>
      <c r="AD35" s="25" t="inlineStr">
        <is>
          <t>N</t>
        </is>
      </c>
      <c r="AE35" s="25" t="inlineStr">
        <is>
          <t>N</t>
        </is>
      </c>
      <c r="AF35" s="25" t="inlineStr">
        <is>
          <t>N</t>
        </is>
      </c>
      <c r="AG35" s="25" t="inlineStr">
        <is>
          <t>N</t>
        </is>
      </c>
      <c r="AH35" s="25" t="inlineStr">
        <is>
          <t>N</t>
        </is>
      </c>
      <c r="AI35" s="25" t="inlineStr">
        <is>
          <t>N</t>
        </is>
      </c>
      <c r="AJ35" s="25" t="inlineStr">
        <is>
          <t>N</t>
        </is>
      </c>
      <c r="AK35" s="25" t="inlineStr">
        <is>
          <t>N</t>
        </is>
      </c>
      <c r="AL35" s="25" t="inlineStr">
        <is>
          <t>N</t>
        </is>
      </c>
      <c r="AM35" s="25" t="inlineStr">
        <is>
          <t>N</t>
        </is>
      </c>
      <c r="AN35" s="25" t="inlineStr">
        <is>
          <t>N</t>
        </is>
      </c>
      <c r="AO35" s="25" t="inlineStr">
        <is>
          <t>N</t>
        </is>
      </c>
      <c r="AP35" s="25" t="inlineStr">
        <is>
          <t>N</t>
        </is>
      </c>
      <c r="AQ35" s="25" t="inlineStr">
        <is>
          <t>N</t>
        </is>
      </c>
      <c r="AR35" s="25" t="inlineStr">
        <is>
          <t>N</t>
        </is>
      </c>
      <c r="AS35" s="25" t="inlineStr">
        <is>
          <t>N</t>
        </is>
      </c>
      <c r="AT35" s="25" t="inlineStr">
        <is>
          <t>N</t>
        </is>
      </c>
      <c r="AU35" s="25" t="inlineStr">
        <is>
          <t>N</t>
        </is>
      </c>
      <c r="AV35" s="25" t="inlineStr">
        <is>
          <t>N</t>
        </is>
      </c>
      <c r="AW35" s="25" t="inlineStr">
        <is>
          <t>N</t>
        </is>
      </c>
      <c r="AX35" s="25" t="inlineStr">
        <is>
          <t>N</t>
        </is>
      </c>
      <c r="AY35" s="25" t="inlineStr">
        <is>
          <t>N</t>
        </is>
      </c>
      <c r="AZ35" s="25" t="inlineStr">
        <is>
          <t>N</t>
        </is>
      </c>
      <c r="BA35" s="25" t="inlineStr">
        <is>
          <t>N</t>
        </is>
      </c>
      <c r="BB35" s="25" t="inlineStr">
        <is>
          <t>N</t>
        </is>
      </c>
      <c r="BC35" s="25" t="inlineStr">
        <is>
          <t>N</t>
        </is>
      </c>
    </row>
    <row r="36">
      <c r="A36" s="16" t="n"/>
      <c r="B36" s="17" t="inlineStr">
        <is>
          <t>Passed/Failed</t>
        </is>
      </c>
      <c r="C36" s="4" t="n"/>
      <c r="D36" s="4" t="n"/>
      <c r="E36" s="4" t="n"/>
      <c r="F36" s="25" t="inlineStr">
        <is>
          <t>P</t>
        </is>
      </c>
      <c r="G36" s="25" t="inlineStr">
        <is>
          <t>P</t>
        </is>
      </c>
      <c r="H36" s="25" t="inlineStr">
        <is>
          <t>P</t>
        </is>
      </c>
      <c r="I36" s="25" t="inlineStr">
        <is>
          <t>P</t>
        </is>
      </c>
      <c r="J36" s="25" t="inlineStr">
        <is>
          <t>P</t>
        </is>
      </c>
      <c r="K36" s="25" t="inlineStr">
        <is>
          <t>P</t>
        </is>
      </c>
      <c r="L36" s="25" t="inlineStr">
        <is>
          <t>P</t>
        </is>
      </c>
      <c r="M36" s="25" t="inlineStr">
        <is>
          <t>P</t>
        </is>
      </c>
      <c r="N36" s="25" t="inlineStr">
        <is>
          <t>P</t>
        </is>
      </c>
      <c r="O36" s="25" t="inlineStr">
        <is>
          <t>P</t>
        </is>
      </c>
      <c r="P36" s="25" t="inlineStr">
        <is>
          <t>P</t>
        </is>
      </c>
      <c r="Q36" s="25" t="inlineStr">
        <is>
          <t>P</t>
        </is>
      </c>
      <c r="R36" s="25" t="inlineStr">
        <is>
          <t>P</t>
        </is>
      </c>
      <c r="S36" s="25" t="inlineStr">
        <is>
          <t>P</t>
        </is>
      </c>
      <c r="T36" s="25" t="inlineStr">
        <is>
          <t>P</t>
        </is>
      </c>
      <c r="U36" s="25" t="inlineStr">
        <is>
          <t>P</t>
        </is>
      </c>
      <c r="V36" s="25" t="inlineStr">
        <is>
          <t>P</t>
        </is>
      </c>
      <c r="W36" s="25" t="inlineStr">
        <is>
          <t>P</t>
        </is>
      </c>
      <c r="X36" s="25" t="inlineStr">
        <is>
          <t>P</t>
        </is>
      </c>
      <c r="Y36" s="25" t="inlineStr">
        <is>
          <t>P</t>
        </is>
      </c>
      <c r="Z36" s="25" t="inlineStr">
        <is>
          <t>P</t>
        </is>
      </c>
      <c r="AA36" s="25" t="inlineStr">
        <is>
          <t>P</t>
        </is>
      </c>
      <c r="AB36" s="25" t="inlineStr">
        <is>
          <t>P</t>
        </is>
      </c>
      <c r="AC36" s="25" t="inlineStr">
        <is>
          <t>P</t>
        </is>
      </c>
      <c r="AD36" s="25" t="inlineStr">
        <is>
          <t>P</t>
        </is>
      </c>
      <c r="AE36" s="25" t="inlineStr">
        <is>
          <t>P</t>
        </is>
      </c>
      <c r="AF36" s="25" t="inlineStr">
        <is>
          <t>P</t>
        </is>
      </c>
      <c r="AG36" s="25" t="inlineStr">
        <is>
          <t>P</t>
        </is>
      </c>
      <c r="AH36" s="25" t="inlineStr">
        <is>
          <t>P</t>
        </is>
      </c>
      <c r="AI36" s="25" t="inlineStr">
        <is>
          <t>P</t>
        </is>
      </c>
      <c r="AJ36" s="25" t="inlineStr">
        <is>
          <t>P</t>
        </is>
      </c>
      <c r="AK36" s="25" t="inlineStr">
        <is>
          <t>P</t>
        </is>
      </c>
      <c r="AL36" s="25" t="inlineStr">
        <is>
          <t>P</t>
        </is>
      </c>
      <c r="AM36" s="25" t="inlineStr">
        <is>
          <t>P</t>
        </is>
      </c>
      <c r="AN36" s="25" t="inlineStr">
        <is>
          <t>P</t>
        </is>
      </c>
      <c r="AO36" s="25" t="inlineStr">
        <is>
          <t>P</t>
        </is>
      </c>
      <c r="AP36" s="25" t="inlineStr">
        <is>
          <t>P</t>
        </is>
      </c>
      <c r="AQ36" s="25" t="inlineStr">
        <is>
          <t>P</t>
        </is>
      </c>
      <c r="AR36" s="25" t="inlineStr">
        <is>
          <t>P</t>
        </is>
      </c>
      <c r="AS36" s="25" t="inlineStr">
        <is>
          <t>P</t>
        </is>
      </c>
      <c r="AT36" s="25" t="inlineStr">
        <is>
          <t>P</t>
        </is>
      </c>
      <c r="AU36" s="25" t="inlineStr">
        <is>
          <t>P</t>
        </is>
      </c>
      <c r="AV36" s="25" t="inlineStr">
        <is>
          <t>P</t>
        </is>
      </c>
      <c r="AW36" s="25" t="inlineStr">
        <is>
          <t>P</t>
        </is>
      </c>
      <c r="AX36" s="25" t="inlineStr">
        <is>
          <t>P</t>
        </is>
      </c>
      <c r="AY36" s="25" t="inlineStr">
        <is>
          <t>P</t>
        </is>
      </c>
      <c r="AZ36" s="25" t="inlineStr">
        <is>
          <t>P</t>
        </is>
      </c>
      <c r="BA36" s="25" t="inlineStr">
        <is>
          <t>P</t>
        </is>
      </c>
      <c r="BB36" s="25" t="inlineStr">
        <is>
          <t>P</t>
        </is>
      </c>
      <c r="BC36" s="25" t="inlineStr">
        <is>
          <t>P</t>
        </is>
      </c>
    </row>
    <row r="37">
      <c r="A37" s="16" t="n"/>
      <c r="B37" s="17" t="inlineStr">
        <is>
          <t>Executed Date</t>
        </is>
      </c>
      <c r="C37" s="4" t="n"/>
      <c r="D37" s="4" t="n"/>
      <c r="E37" s="4" t="n"/>
      <c r="F37" s="26" t="n">
        <v>46215</v>
      </c>
      <c r="G37" s="26" t="n">
        <v>46215</v>
      </c>
      <c r="H37" s="26" t="n">
        <v>46215</v>
      </c>
      <c r="I37" s="26" t="n">
        <v>46215</v>
      </c>
      <c r="J37" s="26" t="n">
        <v>46215</v>
      </c>
      <c r="K37" s="26" t="n">
        <v>46215</v>
      </c>
      <c r="L37" s="26" t="n">
        <v>46215</v>
      </c>
      <c r="M37" s="26" t="n">
        <v>46215</v>
      </c>
      <c r="N37" s="26" t="n">
        <v>46215</v>
      </c>
      <c r="O37" s="26" t="n">
        <v>46215</v>
      </c>
      <c r="P37" s="26" t="n">
        <v>46215</v>
      </c>
      <c r="Q37" s="26" t="n">
        <v>46215</v>
      </c>
      <c r="R37" s="26" t="n">
        <v>46215</v>
      </c>
      <c r="S37" s="26" t="n">
        <v>46215</v>
      </c>
      <c r="T37" s="26" t="n">
        <v>46215</v>
      </c>
      <c r="U37" s="26" t="n">
        <v>46215</v>
      </c>
      <c r="V37" s="26" t="n">
        <v>46215</v>
      </c>
      <c r="W37" s="26" t="n">
        <v>46215</v>
      </c>
      <c r="X37" s="26" t="n">
        <v>46215</v>
      </c>
      <c r="Y37" s="26" t="n">
        <v>46215</v>
      </c>
      <c r="Z37" s="26" t="n">
        <v>46215</v>
      </c>
      <c r="AA37" s="26" t="n">
        <v>46215</v>
      </c>
      <c r="AB37" s="26" t="n">
        <v>46215</v>
      </c>
      <c r="AC37" s="26" t="n">
        <v>46215</v>
      </c>
      <c r="AD37" s="26" t="n">
        <v>46215</v>
      </c>
      <c r="AE37" s="26" t="n">
        <v>46215</v>
      </c>
      <c r="AF37" s="26" t="n">
        <v>46215</v>
      </c>
      <c r="AG37" s="26" t="n">
        <v>46215</v>
      </c>
      <c r="AH37" s="26" t="n">
        <v>46215</v>
      </c>
      <c r="AI37" s="26" t="n">
        <v>46215</v>
      </c>
      <c r="AJ37" s="26" t="n">
        <v>46215</v>
      </c>
      <c r="AK37" s="26" t="n">
        <v>46215</v>
      </c>
      <c r="AL37" s="26" t="n">
        <v>46215</v>
      </c>
      <c r="AM37" s="26" t="n">
        <v>46215</v>
      </c>
      <c r="AN37" s="26" t="n">
        <v>46215</v>
      </c>
      <c r="AO37" s="26" t="n">
        <v>46215</v>
      </c>
      <c r="AP37" s="26" t="n">
        <v>46215</v>
      </c>
      <c r="AQ37" s="26" t="n">
        <v>46215</v>
      </c>
      <c r="AR37" s="26" t="n">
        <v>46215</v>
      </c>
      <c r="AS37" s="26" t="n">
        <v>46215</v>
      </c>
      <c r="AT37" s="26" t="n">
        <v>46215</v>
      </c>
      <c r="AU37" s="26" t="n">
        <v>46215</v>
      </c>
      <c r="AV37" s="26" t="n">
        <v>46215</v>
      </c>
      <c r="AW37" s="26" t="n">
        <v>46215</v>
      </c>
      <c r="AX37" s="26" t="n">
        <v>46215</v>
      </c>
      <c r="AY37" s="26" t="n">
        <v>46215</v>
      </c>
      <c r="AZ37" s="26" t="n">
        <v>46215</v>
      </c>
      <c r="BA37" s="26" t="n">
        <v>46215</v>
      </c>
      <c r="BB37" s="26" t="n">
        <v>46215</v>
      </c>
      <c r="BC37" s="26" t="n">
        <v>46215</v>
      </c>
    </row>
    <row r="38">
      <c r="A38" s="16" t="n"/>
      <c r="B38" s="17" t="inlineStr">
        <is>
          <t>Defect ID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</row>
  </sheetData>
  <mergeCells count="27">
    <mergeCell ref="F2:K2"/>
    <mergeCell ref="O7:BC7"/>
    <mergeCell ref="A6:B6"/>
    <mergeCell ref="B36:E36"/>
    <mergeCell ref="C4:D4"/>
    <mergeCell ref="C2:E2"/>
    <mergeCell ref="L2:BC2"/>
    <mergeCell ref="O6:BC6"/>
    <mergeCell ref="A7:B7"/>
    <mergeCell ref="B35:E35"/>
    <mergeCell ref="C5:BC5"/>
    <mergeCell ref="C7:E7"/>
    <mergeCell ref="L6:N6"/>
    <mergeCell ref="A3:B3"/>
    <mergeCell ref="A2:B2"/>
    <mergeCell ref="A5:B5"/>
    <mergeCell ref="C3:E3"/>
    <mergeCell ref="F4:K4"/>
    <mergeCell ref="C6:E6"/>
    <mergeCell ref="A4:B4"/>
    <mergeCell ref="L4:BC4"/>
    <mergeCell ref="F6:K6"/>
    <mergeCell ref="B38:E38"/>
    <mergeCell ref="F7:K7"/>
    <mergeCell ref="B37:E37"/>
    <mergeCell ref="L3:N3"/>
    <mergeCell ref="F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C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</cols>
  <sheetData>
    <row r="2">
      <c r="A2" s="15" t="inlineStr">
        <is>
          <t>Function Code</t>
        </is>
      </c>
      <c r="B2" s="16" t="n"/>
      <c r="C2" s="17" t="inlineStr">
        <is>
          <t>EmailServiceTest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EmailService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</row>
    <row r="4">
      <c r="A4" s="15" t="inlineStr">
        <is>
          <t>Lines  of code</t>
        </is>
      </c>
      <c r="B4" s="16" t="n"/>
      <c r="C4" s="17" t="n">
        <v>205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</row>
    <row r="5">
      <c r="A5" s="15" t="inlineStr">
        <is>
          <t>Test requirement</t>
        </is>
      </c>
      <c r="B5" s="16" t="n"/>
      <c r="C5" s="17" t="inlineStr">
        <is>
          <t>Unit test for EmailService (asyncEmailSender)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</row>
    <row r="7">
      <c r="A7" s="20">
        <f>COUNTIF(F34:BC34,"P")</f>
        <v/>
      </c>
      <c r="B7" s="4" t="n"/>
      <c r="C7" s="20">
        <f>COUNTIF(F34:BC34,"F")</f>
        <v/>
      </c>
      <c r="D7" s="4" t="n"/>
      <c r="E7" s="4" t="n"/>
      <c r="F7" s="20">
        <f>50-A7-C7</f>
        <v/>
      </c>
      <c r="G7" s="4" t="n"/>
      <c r="H7" s="4" t="n"/>
      <c r="I7" s="4" t="n"/>
      <c r="J7" s="4" t="n"/>
      <c r="K7" s="4" t="n"/>
      <c r="L7" s="17">
        <f>COUNTIF(F33:BC33,"N")</f>
        <v/>
      </c>
      <c r="M7" s="17">
        <f>COUNTIF(F33:BC33,"A")</f>
        <v/>
      </c>
      <c r="N7" s="17">
        <f>COUNTIF(F33:BC33,"B")</f>
        <v/>
      </c>
      <c r="O7" s="20" t="n">
        <v>50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</row>
    <row r="14">
      <c r="A14" s="16" t="n"/>
      <c r="B14" s="18" t="inlineStr">
        <is>
          <t>email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</row>
    <row r="17">
      <c r="A17" s="16" t="n"/>
      <c r="B17" s="18" t="inlineStr">
        <is>
          <t>tempName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</row>
    <row r="20">
      <c r="A20" s="16" t="n"/>
      <c r="B20" s="18" t="inlineStr">
        <is>
          <t>index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24" t="inlineStr">
        <is>
          <t>O</t>
        </is>
      </c>
      <c r="K26" s="24" t="inlineStr">
        <is>
          <t>O</t>
        </is>
      </c>
      <c r="L26" s="24" t="inlineStr">
        <is>
          <t>O</t>
        </is>
      </c>
      <c r="M26" s="24" t="inlineStr">
        <is>
          <t>O</t>
        </is>
      </c>
      <c r="N26" s="24" t="inlineStr">
        <is>
          <t>O</t>
        </is>
      </c>
      <c r="O26" s="24" t="inlineStr">
        <is>
          <t>O</t>
        </is>
      </c>
      <c r="P26" s="24" t="inlineStr">
        <is>
          <t>O</t>
        </is>
      </c>
      <c r="Q26" s="24" t="inlineStr">
        <is>
          <t>O</t>
        </is>
      </c>
      <c r="R26" s="24" t="inlineStr">
        <is>
          <t>O</t>
        </is>
      </c>
      <c r="S26" s="24" t="inlineStr">
        <is>
          <t>O</t>
        </is>
      </c>
      <c r="T26" s="24" t="inlineStr">
        <is>
          <t>O</t>
        </is>
      </c>
      <c r="U26" s="24" t="inlineStr">
        <is>
          <t>O</t>
        </is>
      </c>
      <c r="V26" s="24" t="inlineStr">
        <is>
          <t>O</t>
        </is>
      </c>
      <c r="W26" s="24" t="inlineStr">
        <is>
          <t>O</t>
        </is>
      </c>
      <c r="X26" s="24" t="inlineStr">
        <is>
          <t>O</t>
        </is>
      </c>
      <c r="Y26" s="24" t="inlineStr">
        <is>
          <t>O</t>
        </is>
      </c>
      <c r="Z26" s="24" t="inlineStr">
        <is>
          <t>O</t>
        </is>
      </c>
      <c r="AA26" s="24" t="inlineStr">
        <is>
          <t>O</t>
        </is>
      </c>
      <c r="AB26" s="24" t="inlineStr">
        <is>
          <t>O</t>
        </is>
      </c>
      <c r="AC26" s="24" t="inlineStr">
        <is>
          <t>O</t>
        </is>
      </c>
      <c r="AD26" s="24" t="inlineStr">
        <is>
          <t>O</t>
        </is>
      </c>
      <c r="AE26" s="24" t="inlineStr">
        <is>
          <t>O</t>
        </is>
      </c>
      <c r="AF26" s="24" t="inlineStr">
        <is>
          <t>O</t>
        </is>
      </c>
      <c r="AG26" s="24" t="inlineStr">
        <is>
          <t>O</t>
        </is>
      </c>
      <c r="AH26" s="24" t="inlineStr">
        <is>
          <t>O</t>
        </is>
      </c>
      <c r="AI26" s="24" t="inlineStr">
        <is>
          <t>O</t>
        </is>
      </c>
      <c r="AJ26" s="24" t="inlineStr">
        <is>
          <t>O</t>
        </is>
      </c>
      <c r="AK26" s="24" t="inlineStr">
        <is>
          <t>O</t>
        </is>
      </c>
      <c r="AL26" s="24" t="inlineStr">
        <is>
          <t>O</t>
        </is>
      </c>
      <c r="AM26" s="24" t="inlineStr">
        <is>
          <t>O</t>
        </is>
      </c>
      <c r="AN26" s="24" t="inlineStr">
        <is>
          <t>O</t>
        </is>
      </c>
      <c r="AO26" s="24" t="inlineStr">
        <is>
          <t>O</t>
        </is>
      </c>
      <c r="AP26" s="24" t="inlineStr">
        <is>
          <t>O</t>
        </is>
      </c>
      <c r="AQ26" s="24" t="inlineStr">
        <is>
          <t>O</t>
        </is>
      </c>
      <c r="AR26" s="24" t="inlineStr">
        <is>
          <t>O</t>
        </is>
      </c>
      <c r="AS26" s="24" t="inlineStr">
        <is>
          <t>O</t>
        </is>
      </c>
      <c r="AT26" s="24" t="inlineStr">
        <is>
          <t>O</t>
        </is>
      </c>
      <c r="AU26" s="24" t="inlineStr">
        <is>
          <t>O</t>
        </is>
      </c>
      <c r="AV26" s="24" t="inlineStr">
        <is>
          <t>O</t>
        </is>
      </c>
      <c r="AW26" s="24" t="inlineStr">
        <is>
          <t>O</t>
        </is>
      </c>
      <c r="AX26" s="24" t="inlineStr">
        <is>
          <t>O</t>
        </is>
      </c>
      <c r="AY26" s="24" t="inlineStr">
        <is>
          <t>O</t>
        </is>
      </c>
      <c r="AZ26" s="24" t="inlineStr">
        <is>
          <t>O</t>
        </is>
      </c>
      <c r="BA26" s="24" t="inlineStr">
        <is>
          <t>O</t>
        </is>
      </c>
      <c r="BB26" s="24" t="inlineStr">
        <is>
          <t>O</t>
        </is>
      </c>
      <c r="BC26" s="24" t="inlineStr">
        <is>
          <t>O</t>
        </is>
      </c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24" t="inlineStr">
        <is>
          <t>O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A</t>
        </is>
      </c>
      <c r="G33" s="25" t="inlineStr">
        <is>
          <t>N</t>
        </is>
      </c>
      <c r="H33" s="25" t="inlineStr">
        <is>
          <t>N</t>
        </is>
      </c>
      <c r="I33" s="25" t="inlineStr">
        <is>
          <t>N</t>
        </is>
      </c>
      <c r="J33" s="25" t="inlineStr">
        <is>
          <t>N</t>
        </is>
      </c>
      <c r="K33" s="25" t="inlineStr">
        <is>
          <t>N</t>
        </is>
      </c>
      <c r="L33" s="25" t="inlineStr">
        <is>
          <t>N</t>
        </is>
      </c>
      <c r="M33" s="25" t="inlineStr">
        <is>
          <t>N</t>
        </is>
      </c>
      <c r="N33" s="25" t="inlineStr">
        <is>
          <t>N</t>
        </is>
      </c>
      <c r="O33" s="25" t="inlineStr">
        <is>
          <t>N</t>
        </is>
      </c>
      <c r="P33" s="25" t="inlineStr">
        <is>
          <t>N</t>
        </is>
      </c>
      <c r="Q33" s="25" t="inlineStr">
        <is>
          <t>N</t>
        </is>
      </c>
      <c r="R33" s="25" t="inlineStr">
        <is>
          <t>N</t>
        </is>
      </c>
      <c r="S33" s="25" t="inlineStr">
        <is>
          <t>N</t>
        </is>
      </c>
      <c r="T33" s="25" t="inlineStr">
        <is>
          <t>N</t>
        </is>
      </c>
      <c r="U33" s="25" t="inlineStr">
        <is>
          <t>N</t>
        </is>
      </c>
      <c r="V33" s="25" t="inlineStr">
        <is>
          <t>N</t>
        </is>
      </c>
      <c r="W33" s="25" t="inlineStr">
        <is>
          <t>N</t>
        </is>
      </c>
      <c r="X33" s="25" t="inlineStr">
        <is>
          <t>N</t>
        </is>
      </c>
      <c r="Y33" s="25" t="inlineStr">
        <is>
          <t>N</t>
        </is>
      </c>
      <c r="Z33" s="25" t="inlineStr">
        <is>
          <t>N</t>
        </is>
      </c>
      <c r="AA33" s="25" t="inlineStr">
        <is>
          <t>N</t>
        </is>
      </c>
      <c r="AB33" s="25" t="inlineStr">
        <is>
          <t>N</t>
        </is>
      </c>
      <c r="AC33" s="25" t="inlineStr">
        <is>
          <t>N</t>
        </is>
      </c>
      <c r="AD33" s="25" t="inlineStr">
        <is>
          <t>N</t>
        </is>
      </c>
      <c r="AE33" s="25" t="inlineStr">
        <is>
          <t>N</t>
        </is>
      </c>
      <c r="AF33" s="25" t="inlineStr">
        <is>
          <t>N</t>
        </is>
      </c>
      <c r="AG33" s="25" t="inlineStr">
        <is>
          <t>N</t>
        </is>
      </c>
      <c r="AH33" s="25" t="inlineStr">
        <is>
          <t>N</t>
        </is>
      </c>
      <c r="AI33" s="25" t="inlineStr">
        <is>
          <t>N</t>
        </is>
      </c>
      <c r="AJ33" s="25" t="inlineStr">
        <is>
          <t>N</t>
        </is>
      </c>
      <c r="AK33" s="25" t="inlineStr">
        <is>
          <t>N</t>
        </is>
      </c>
      <c r="AL33" s="25" t="inlineStr">
        <is>
          <t>N</t>
        </is>
      </c>
      <c r="AM33" s="25" t="inlineStr">
        <is>
          <t>N</t>
        </is>
      </c>
      <c r="AN33" s="25" t="inlineStr">
        <is>
          <t>N</t>
        </is>
      </c>
      <c r="AO33" s="25" t="inlineStr">
        <is>
          <t>N</t>
        </is>
      </c>
      <c r="AP33" s="25" t="inlineStr">
        <is>
          <t>N</t>
        </is>
      </c>
      <c r="AQ33" s="25" t="inlineStr">
        <is>
          <t>N</t>
        </is>
      </c>
      <c r="AR33" s="25" t="inlineStr">
        <is>
          <t>N</t>
        </is>
      </c>
      <c r="AS33" s="25" t="inlineStr">
        <is>
          <t>N</t>
        </is>
      </c>
      <c r="AT33" s="25" t="inlineStr">
        <is>
          <t>N</t>
        </is>
      </c>
      <c r="AU33" s="25" t="inlineStr">
        <is>
          <t>N</t>
        </is>
      </c>
      <c r="AV33" s="25" t="inlineStr">
        <is>
          <t>N</t>
        </is>
      </c>
      <c r="AW33" s="25" t="inlineStr">
        <is>
          <t>N</t>
        </is>
      </c>
      <c r="AX33" s="25" t="inlineStr">
        <is>
          <t>N</t>
        </is>
      </c>
      <c r="AY33" s="25" t="inlineStr">
        <is>
          <t>N</t>
        </is>
      </c>
      <c r="AZ33" s="25" t="inlineStr">
        <is>
          <t>N</t>
        </is>
      </c>
      <c r="BA33" s="25" t="inlineStr">
        <is>
          <t>N</t>
        </is>
      </c>
      <c r="BB33" s="25" t="inlineStr">
        <is>
          <t>N</t>
        </is>
      </c>
      <c r="BC33" s="25" t="inlineStr">
        <is>
          <t>N</t>
        </is>
      </c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25" t="inlineStr">
        <is>
          <t>P</t>
        </is>
      </c>
      <c r="K34" s="25" t="inlineStr">
        <is>
          <t>P</t>
        </is>
      </c>
      <c r="L34" s="25" t="inlineStr">
        <is>
          <t>P</t>
        </is>
      </c>
      <c r="M34" s="25" t="inlineStr">
        <is>
          <t>P</t>
        </is>
      </c>
      <c r="N34" s="25" t="inlineStr">
        <is>
          <t>P</t>
        </is>
      </c>
      <c r="O34" s="25" t="inlineStr">
        <is>
          <t>P</t>
        </is>
      </c>
      <c r="P34" s="25" t="inlineStr">
        <is>
          <t>P</t>
        </is>
      </c>
      <c r="Q34" s="25" t="inlineStr">
        <is>
          <t>P</t>
        </is>
      </c>
      <c r="R34" s="25" t="inlineStr">
        <is>
          <t>P</t>
        </is>
      </c>
      <c r="S34" s="25" t="inlineStr">
        <is>
          <t>P</t>
        </is>
      </c>
      <c r="T34" s="25" t="inlineStr">
        <is>
          <t>P</t>
        </is>
      </c>
      <c r="U34" s="25" t="inlineStr">
        <is>
          <t>P</t>
        </is>
      </c>
      <c r="V34" s="25" t="inlineStr">
        <is>
          <t>P</t>
        </is>
      </c>
      <c r="W34" s="25" t="inlineStr">
        <is>
          <t>P</t>
        </is>
      </c>
      <c r="X34" s="25" t="inlineStr">
        <is>
          <t>P</t>
        </is>
      </c>
      <c r="Y34" s="25" t="inlineStr">
        <is>
          <t>P</t>
        </is>
      </c>
      <c r="Z34" s="25" t="inlineStr">
        <is>
          <t>P</t>
        </is>
      </c>
      <c r="AA34" s="25" t="inlineStr">
        <is>
          <t>P</t>
        </is>
      </c>
      <c r="AB34" s="25" t="inlineStr">
        <is>
          <t>P</t>
        </is>
      </c>
      <c r="AC34" s="25" t="inlineStr">
        <is>
          <t>P</t>
        </is>
      </c>
      <c r="AD34" s="25" t="inlineStr">
        <is>
          <t>P</t>
        </is>
      </c>
      <c r="AE34" s="25" t="inlineStr">
        <is>
          <t>P</t>
        </is>
      </c>
      <c r="AF34" s="25" t="inlineStr">
        <is>
          <t>P</t>
        </is>
      </c>
      <c r="AG34" s="25" t="inlineStr">
        <is>
          <t>P</t>
        </is>
      </c>
      <c r="AH34" s="25" t="inlineStr">
        <is>
          <t>P</t>
        </is>
      </c>
      <c r="AI34" s="25" t="inlineStr">
        <is>
          <t>P</t>
        </is>
      </c>
      <c r="AJ34" s="25" t="inlineStr">
        <is>
          <t>P</t>
        </is>
      </c>
      <c r="AK34" s="25" t="inlineStr">
        <is>
          <t>P</t>
        </is>
      </c>
      <c r="AL34" s="25" t="inlineStr">
        <is>
          <t>P</t>
        </is>
      </c>
      <c r="AM34" s="25" t="inlineStr">
        <is>
          <t>P</t>
        </is>
      </c>
      <c r="AN34" s="25" t="inlineStr">
        <is>
          <t>P</t>
        </is>
      </c>
      <c r="AO34" s="25" t="inlineStr">
        <is>
          <t>P</t>
        </is>
      </c>
      <c r="AP34" s="25" t="inlineStr">
        <is>
          <t>P</t>
        </is>
      </c>
      <c r="AQ34" s="25" t="inlineStr">
        <is>
          <t>P</t>
        </is>
      </c>
      <c r="AR34" s="25" t="inlineStr">
        <is>
          <t>P</t>
        </is>
      </c>
      <c r="AS34" s="25" t="inlineStr">
        <is>
          <t>P</t>
        </is>
      </c>
      <c r="AT34" s="25" t="inlineStr">
        <is>
          <t>P</t>
        </is>
      </c>
      <c r="AU34" s="25" t="inlineStr">
        <is>
          <t>P</t>
        </is>
      </c>
      <c r="AV34" s="25" t="inlineStr">
        <is>
          <t>P</t>
        </is>
      </c>
      <c r="AW34" s="25" t="inlineStr">
        <is>
          <t>P</t>
        </is>
      </c>
      <c r="AX34" s="25" t="inlineStr">
        <is>
          <t>P</t>
        </is>
      </c>
      <c r="AY34" s="25" t="inlineStr">
        <is>
          <t>P</t>
        </is>
      </c>
      <c r="AZ34" s="25" t="inlineStr">
        <is>
          <t>P</t>
        </is>
      </c>
      <c r="BA34" s="25" t="inlineStr">
        <is>
          <t>P</t>
        </is>
      </c>
      <c r="BB34" s="25" t="inlineStr">
        <is>
          <t>P</t>
        </is>
      </c>
      <c r="BC34" s="25" t="inlineStr">
        <is>
          <t>P</t>
        </is>
      </c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26" t="n">
        <v>46215</v>
      </c>
      <c r="K35" s="26" t="n">
        <v>46215</v>
      </c>
      <c r="L35" s="26" t="n">
        <v>46215</v>
      </c>
      <c r="M35" s="26" t="n">
        <v>46215</v>
      </c>
      <c r="N35" s="26" t="n">
        <v>46215</v>
      </c>
      <c r="O35" s="26" t="n">
        <v>46215</v>
      </c>
      <c r="P35" s="26" t="n">
        <v>46215</v>
      </c>
      <c r="Q35" s="26" t="n">
        <v>46215</v>
      </c>
      <c r="R35" s="26" t="n">
        <v>46215</v>
      </c>
      <c r="S35" s="26" t="n">
        <v>46215</v>
      </c>
      <c r="T35" s="26" t="n">
        <v>46215</v>
      </c>
      <c r="U35" s="26" t="n">
        <v>46215</v>
      </c>
      <c r="V35" s="26" t="n">
        <v>46215</v>
      </c>
      <c r="W35" s="26" t="n">
        <v>46215</v>
      </c>
      <c r="X35" s="26" t="n">
        <v>46215</v>
      </c>
      <c r="Y35" s="26" t="n">
        <v>46215</v>
      </c>
      <c r="Z35" s="26" t="n">
        <v>46215</v>
      </c>
      <c r="AA35" s="26" t="n">
        <v>46215</v>
      </c>
      <c r="AB35" s="26" t="n">
        <v>46215</v>
      </c>
      <c r="AC35" s="26" t="n">
        <v>46215</v>
      </c>
      <c r="AD35" s="26" t="n">
        <v>46215</v>
      </c>
      <c r="AE35" s="26" t="n">
        <v>46215</v>
      </c>
      <c r="AF35" s="26" t="n">
        <v>46215</v>
      </c>
      <c r="AG35" s="26" t="n">
        <v>46215</v>
      </c>
      <c r="AH35" s="26" t="n">
        <v>46215</v>
      </c>
      <c r="AI35" s="26" t="n">
        <v>46215</v>
      </c>
      <c r="AJ35" s="26" t="n">
        <v>46215</v>
      </c>
      <c r="AK35" s="26" t="n">
        <v>46215</v>
      </c>
      <c r="AL35" s="26" t="n">
        <v>46215</v>
      </c>
      <c r="AM35" s="26" t="n">
        <v>46215</v>
      </c>
      <c r="AN35" s="26" t="n">
        <v>46215</v>
      </c>
      <c r="AO35" s="26" t="n">
        <v>46215</v>
      </c>
      <c r="AP35" s="26" t="n">
        <v>46215</v>
      </c>
      <c r="AQ35" s="26" t="n">
        <v>46215</v>
      </c>
      <c r="AR35" s="26" t="n">
        <v>46215</v>
      </c>
      <c r="AS35" s="26" t="n">
        <v>46215</v>
      </c>
      <c r="AT35" s="26" t="n">
        <v>46215</v>
      </c>
      <c r="AU35" s="26" t="n">
        <v>46215</v>
      </c>
      <c r="AV35" s="26" t="n">
        <v>46215</v>
      </c>
      <c r="AW35" s="26" t="n">
        <v>46215</v>
      </c>
      <c r="AX35" s="26" t="n">
        <v>46215</v>
      </c>
      <c r="AY35" s="26" t="n">
        <v>46215</v>
      </c>
      <c r="AZ35" s="26" t="n">
        <v>46215</v>
      </c>
      <c r="BA35" s="26" t="n">
        <v>46215</v>
      </c>
      <c r="BB35" s="26" t="n">
        <v>46215</v>
      </c>
      <c r="BC35" s="26" t="n">
        <v>46215</v>
      </c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</row>
  </sheetData>
  <mergeCells count="27">
    <mergeCell ref="B33:E33"/>
    <mergeCell ref="F2:K2"/>
    <mergeCell ref="O7:BC7"/>
    <mergeCell ref="A6:B6"/>
    <mergeCell ref="B36:E36"/>
    <mergeCell ref="C4:D4"/>
    <mergeCell ref="C2:E2"/>
    <mergeCell ref="L2:BC2"/>
    <mergeCell ref="O6:BC6"/>
    <mergeCell ref="A7:B7"/>
    <mergeCell ref="B35:E35"/>
    <mergeCell ref="C5:BC5"/>
    <mergeCell ref="C7:E7"/>
    <mergeCell ref="L6:N6"/>
    <mergeCell ref="A3:B3"/>
    <mergeCell ref="A2:B2"/>
    <mergeCell ref="A5:B5"/>
    <mergeCell ref="C3:E3"/>
    <mergeCell ref="F4:K4"/>
    <mergeCell ref="C6:E6"/>
    <mergeCell ref="A4:B4"/>
    <mergeCell ref="L4:BC4"/>
    <mergeCell ref="F6:K6"/>
    <mergeCell ref="F7:K7"/>
    <mergeCell ref="B34:E34"/>
    <mergeCell ref="L3:N3"/>
    <mergeCell ref="F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C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</cols>
  <sheetData>
    <row r="2">
      <c r="A2" s="15" t="inlineStr">
        <is>
          <t>Function Code</t>
        </is>
      </c>
      <c r="B2" s="16" t="n"/>
      <c r="C2" s="17" t="inlineStr">
        <is>
          <t>EmailTriggerIntegrationTest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EmailTrigger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</row>
    <row r="4">
      <c r="A4" s="15" t="inlineStr">
        <is>
          <t>Lines  of code</t>
        </is>
      </c>
      <c r="B4" s="16" t="n"/>
      <c r="C4" s="17" t="n">
        <v>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</row>
    <row r="5">
      <c r="A5" s="15" t="inlineStr">
        <is>
          <t>Test requirement</t>
        </is>
      </c>
      <c r="B5" s="16" t="n"/>
      <c r="C5" s="17" t="inlineStr">
        <is>
          <t>Unit test for EmailTrigger (asyncEmailSender)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</row>
    <row r="7">
      <c r="A7" s="20">
        <f>COUNTIF(F34:BC34,"P")</f>
        <v/>
      </c>
      <c r="B7" s="4" t="n"/>
      <c r="C7" s="20">
        <f>COUNTIF(F34:BC34,"F")</f>
        <v/>
      </c>
      <c r="D7" s="4" t="n"/>
      <c r="E7" s="4" t="n"/>
      <c r="F7" s="20">
        <f>50-A7-C7</f>
        <v/>
      </c>
      <c r="G7" s="4" t="n"/>
      <c r="H7" s="4" t="n"/>
      <c r="I7" s="4" t="n"/>
      <c r="J7" s="4" t="n"/>
      <c r="K7" s="4" t="n"/>
      <c r="L7" s="17">
        <f>COUNTIF(F33:BC33,"N")</f>
        <v/>
      </c>
      <c r="M7" s="17">
        <f>COUNTIF(F33:BC33,"A")</f>
        <v/>
      </c>
      <c r="N7" s="17">
        <f>COUNTIF(F33:BC33,"B")</f>
        <v/>
      </c>
      <c r="O7" s="20" t="n">
        <v>50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</row>
    <row r="14">
      <c r="A14" s="16" t="n"/>
      <c r="B14" s="18" t="inlineStr">
        <is>
          <t>tempName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</row>
    <row r="17">
      <c r="A17" s="16" t="n"/>
      <c r="B17" s="18" t="inlineStr">
        <is>
          <t>email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</row>
    <row r="20">
      <c r="A20" s="16" t="n"/>
      <c r="B20" s="18" t="inlineStr">
        <is>
          <t>index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24" t="inlineStr">
        <is>
          <t>O</t>
        </is>
      </c>
      <c r="K26" s="24" t="inlineStr">
        <is>
          <t>O</t>
        </is>
      </c>
      <c r="L26" s="24" t="inlineStr">
        <is>
          <t>O</t>
        </is>
      </c>
      <c r="M26" s="24" t="inlineStr">
        <is>
          <t>O</t>
        </is>
      </c>
      <c r="N26" s="24" t="inlineStr">
        <is>
          <t>O</t>
        </is>
      </c>
      <c r="O26" s="24" t="inlineStr">
        <is>
          <t>O</t>
        </is>
      </c>
      <c r="P26" s="24" t="inlineStr">
        <is>
          <t>O</t>
        </is>
      </c>
      <c r="Q26" s="24" t="inlineStr">
        <is>
          <t>O</t>
        </is>
      </c>
      <c r="R26" s="24" t="inlineStr">
        <is>
          <t>O</t>
        </is>
      </c>
      <c r="S26" s="24" t="inlineStr">
        <is>
          <t>O</t>
        </is>
      </c>
      <c r="T26" s="24" t="inlineStr">
        <is>
          <t>O</t>
        </is>
      </c>
      <c r="U26" s="24" t="inlineStr">
        <is>
          <t>O</t>
        </is>
      </c>
      <c r="V26" s="24" t="inlineStr">
        <is>
          <t>O</t>
        </is>
      </c>
      <c r="W26" s="24" t="inlineStr">
        <is>
          <t>O</t>
        </is>
      </c>
      <c r="X26" s="24" t="inlineStr">
        <is>
          <t>O</t>
        </is>
      </c>
      <c r="Y26" s="24" t="inlineStr">
        <is>
          <t>O</t>
        </is>
      </c>
      <c r="Z26" s="24" t="inlineStr">
        <is>
          <t>O</t>
        </is>
      </c>
      <c r="AA26" s="24" t="inlineStr">
        <is>
          <t>O</t>
        </is>
      </c>
      <c r="AB26" s="24" t="inlineStr">
        <is>
          <t>O</t>
        </is>
      </c>
      <c r="AC26" s="24" t="inlineStr">
        <is>
          <t>O</t>
        </is>
      </c>
      <c r="AD26" s="24" t="inlineStr">
        <is>
          <t>O</t>
        </is>
      </c>
      <c r="AE26" s="24" t="inlineStr">
        <is>
          <t>O</t>
        </is>
      </c>
      <c r="AF26" s="24" t="inlineStr">
        <is>
          <t>O</t>
        </is>
      </c>
      <c r="AG26" s="24" t="inlineStr">
        <is>
          <t>O</t>
        </is>
      </c>
      <c r="AH26" s="24" t="inlineStr">
        <is>
          <t>O</t>
        </is>
      </c>
      <c r="AI26" s="24" t="inlineStr">
        <is>
          <t>O</t>
        </is>
      </c>
      <c r="AJ26" s="24" t="inlineStr">
        <is>
          <t>O</t>
        </is>
      </c>
      <c r="AK26" s="24" t="inlineStr">
        <is>
          <t>O</t>
        </is>
      </c>
      <c r="AL26" s="24" t="inlineStr">
        <is>
          <t>O</t>
        </is>
      </c>
      <c r="AM26" s="24" t="inlineStr">
        <is>
          <t>O</t>
        </is>
      </c>
      <c r="AN26" s="24" t="inlineStr">
        <is>
          <t>O</t>
        </is>
      </c>
      <c r="AO26" s="24" t="inlineStr">
        <is>
          <t>O</t>
        </is>
      </c>
      <c r="AP26" s="24" t="inlineStr">
        <is>
          <t>O</t>
        </is>
      </c>
      <c r="AQ26" s="24" t="inlineStr">
        <is>
          <t>O</t>
        </is>
      </c>
      <c r="AR26" s="24" t="inlineStr">
        <is>
          <t>O</t>
        </is>
      </c>
      <c r="AS26" s="24" t="inlineStr">
        <is>
          <t>O</t>
        </is>
      </c>
      <c r="AT26" s="24" t="inlineStr">
        <is>
          <t>O</t>
        </is>
      </c>
      <c r="AU26" s="24" t="inlineStr">
        <is>
          <t>O</t>
        </is>
      </c>
      <c r="AV26" s="24" t="inlineStr">
        <is>
          <t>O</t>
        </is>
      </c>
      <c r="AW26" s="24" t="inlineStr">
        <is>
          <t>O</t>
        </is>
      </c>
      <c r="AX26" s="24" t="inlineStr">
        <is>
          <t>O</t>
        </is>
      </c>
      <c r="AY26" s="24" t="inlineStr">
        <is>
          <t>O</t>
        </is>
      </c>
      <c r="AZ26" s="24" t="inlineStr">
        <is>
          <t>O</t>
        </is>
      </c>
      <c r="BA26" s="24" t="inlineStr">
        <is>
          <t>O</t>
        </is>
      </c>
      <c r="BB26" s="24" t="inlineStr">
        <is>
          <t>O</t>
        </is>
      </c>
      <c r="BC26" s="24" t="inlineStr">
        <is>
          <t>O</t>
        </is>
      </c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N</t>
        </is>
      </c>
      <c r="H33" s="25" t="inlineStr">
        <is>
          <t>N</t>
        </is>
      </c>
      <c r="I33" s="25" t="inlineStr">
        <is>
          <t>N</t>
        </is>
      </c>
      <c r="J33" s="25" t="inlineStr">
        <is>
          <t>N</t>
        </is>
      </c>
      <c r="K33" s="25" t="inlineStr">
        <is>
          <t>N</t>
        </is>
      </c>
      <c r="L33" s="25" t="inlineStr">
        <is>
          <t>N</t>
        </is>
      </c>
      <c r="M33" s="25" t="inlineStr">
        <is>
          <t>N</t>
        </is>
      </c>
      <c r="N33" s="25" t="inlineStr">
        <is>
          <t>N</t>
        </is>
      </c>
      <c r="O33" s="25" t="inlineStr">
        <is>
          <t>N</t>
        </is>
      </c>
      <c r="P33" s="25" t="inlineStr">
        <is>
          <t>N</t>
        </is>
      </c>
      <c r="Q33" s="25" t="inlineStr">
        <is>
          <t>N</t>
        </is>
      </c>
      <c r="R33" s="25" t="inlineStr">
        <is>
          <t>N</t>
        </is>
      </c>
      <c r="S33" s="25" t="inlineStr">
        <is>
          <t>N</t>
        </is>
      </c>
      <c r="T33" s="25" t="inlineStr">
        <is>
          <t>N</t>
        </is>
      </c>
      <c r="U33" s="25" t="inlineStr">
        <is>
          <t>N</t>
        </is>
      </c>
      <c r="V33" s="25" t="inlineStr">
        <is>
          <t>N</t>
        </is>
      </c>
      <c r="W33" s="25" t="inlineStr">
        <is>
          <t>N</t>
        </is>
      </c>
      <c r="X33" s="25" t="inlineStr">
        <is>
          <t>N</t>
        </is>
      </c>
      <c r="Y33" s="25" t="inlineStr">
        <is>
          <t>N</t>
        </is>
      </c>
      <c r="Z33" s="25" t="inlineStr">
        <is>
          <t>N</t>
        </is>
      </c>
      <c r="AA33" s="25" t="inlineStr">
        <is>
          <t>N</t>
        </is>
      </c>
      <c r="AB33" s="25" t="inlineStr">
        <is>
          <t>N</t>
        </is>
      </c>
      <c r="AC33" s="25" t="inlineStr">
        <is>
          <t>N</t>
        </is>
      </c>
      <c r="AD33" s="25" t="inlineStr">
        <is>
          <t>N</t>
        </is>
      </c>
      <c r="AE33" s="25" t="inlineStr">
        <is>
          <t>N</t>
        </is>
      </c>
      <c r="AF33" s="25" t="inlineStr">
        <is>
          <t>N</t>
        </is>
      </c>
      <c r="AG33" s="25" t="inlineStr">
        <is>
          <t>N</t>
        </is>
      </c>
      <c r="AH33" s="25" t="inlineStr">
        <is>
          <t>N</t>
        </is>
      </c>
      <c r="AI33" s="25" t="inlineStr">
        <is>
          <t>N</t>
        </is>
      </c>
      <c r="AJ33" s="25" t="inlineStr">
        <is>
          <t>N</t>
        </is>
      </c>
      <c r="AK33" s="25" t="inlineStr">
        <is>
          <t>N</t>
        </is>
      </c>
      <c r="AL33" s="25" t="inlineStr">
        <is>
          <t>N</t>
        </is>
      </c>
      <c r="AM33" s="25" t="inlineStr">
        <is>
          <t>N</t>
        </is>
      </c>
      <c r="AN33" s="25" t="inlineStr">
        <is>
          <t>N</t>
        </is>
      </c>
      <c r="AO33" s="25" t="inlineStr">
        <is>
          <t>N</t>
        </is>
      </c>
      <c r="AP33" s="25" t="inlineStr">
        <is>
          <t>N</t>
        </is>
      </c>
      <c r="AQ33" s="25" t="inlineStr">
        <is>
          <t>N</t>
        </is>
      </c>
      <c r="AR33" s="25" t="inlineStr">
        <is>
          <t>N</t>
        </is>
      </c>
      <c r="AS33" s="25" t="inlineStr">
        <is>
          <t>N</t>
        </is>
      </c>
      <c r="AT33" s="25" t="inlineStr">
        <is>
          <t>N</t>
        </is>
      </c>
      <c r="AU33" s="25" t="inlineStr">
        <is>
          <t>N</t>
        </is>
      </c>
      <c r="AV33" s="25" t="inlineStr">
        <is>
          <t>N</t>
        </is>
      </c>
      <c r="AW33" s="25" t="inlineStr">
        <is>
          <t>N</t>
        </is>
      </c>
      <c r="AX33" s="25" t="inlineStr">
        <is>
          <t>N</t>
        </is>
      </c>
      <c r="AY33" s="25" t="inlineStr">
        <is>
          <t>N</t>
        </is>
      </c>
      <c r="AZ33" s="25" t="inlineStr">
        <is>
          <t>N</t>
        </is>
      </c>
      <c r="BA33" s="25" t="inlineStr">
        <is>
          <t>N</t>
        </is>
      </c>
      <c r="BB33" s="25" t="inlineStr">
        <is>
          <t>N</t>
        </is>
      </c>
      <c r="BC33" s="25" t="inlineStr">
        <is>
          <t>N</t>
        </is>
      </c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25" t="inlineStr">
        <is>
          <t>P</t>
        </is>
      </c>
      <c r="K34" s="25" t="inlineStr">
        <is>
          <t>P</t>
        </is>
      </c>
      <c r="L34" s="25" t="inlineStr">
        <is>
          <t>P</t>
        </is>
      </c>
      <c r="M34" s="25" t="inlineStr">
        <is>
          <t>P</t>
        </is>
      </c>
      <c r="N34" s="25" t="inlineStr">
        <is>
          <t>P</t>
        </is>
      </c>
      <c r="O34" s="25" t="inlineStr">
        <is>
          <t>P</t>
        </is>
      </c>
      <c r="P34" s="25" t="inlineStr">
        <is>
          <t>P</t>
        </is>
      </c>
      <c r="Q34" s="25" t="inlineStr">
        <is>
          <t>P</t>
        </is>
      </c>
      <c r="R34" s="25" t="inlineStr">
        <is>
          <t>P</t>
        </is>
      </c>
      <c r="S34" s="25" t="inlineStr">
        <is>
          <t>P</t>
        </is>
      </c>
      <c r="T34" s="25" t="inlineStr">
        <is>
          <t>P</t>
        </is>
      </c>
      <c r="U34" s="25" t="inlineStr">
        <is>
          <t>P</t>
        </is>
      </c>
      <c r="V34" s="25" t="inlineStr">
        <is>
          <t>P</t>
        </is>
      </c>
      <c r="W34" s="25" t="inlineStr">
        <is>
          <t>P</t>
        </is>
      </c>
      <c r="X34" s="25" t="inlineStr">
        <is>
          <t>P</t>
        </is>
      </c>
      <c r="Y34" s="25" t="inlineStr">
        <is>
          <t>P</t>
        </is>
      </c>
      <c r="Z34" s="25" t="inlineStr">
        <is>
          <t>P</t>
        </is>
      </c>
      <c r="AA34" s="25" t="inlineStr">
        <is>
          <t>P</t>
        </is>
      </c>
      <c r="AB34" s="25" t="inlineStr">
        <is>
          <t>P</t>
        </is>
      </c>
      <c r="AC34" s="25" t="inlineStr">
        <is>
          <t>P</t>
        </is>
      </c>
      <c r="AD34" s="25" t="inlineStr">
        <is>
          <t>P</t>
        </is>
      </c>
      <c r="AE34" s="25" t="inlineStr">
        <is>
          <t>P</t>
        </is>
      </c>
      <c r="AF34" s="25" t="inlineStr">
        <is>
          <t>P</t>
        </is>
      </c>
      <c r="AG34" s="25" t="inlineStr">
        <is>
          <t>P</t>
        </is>
      </c>
      <c r="AH34" s="25" t="inlineStr">
        <is>
          <t>P</t>
        </is>
      </c>
      <c r="AI34" s="25" t="inlineStr">
        <is>
          <t>P</t>
        </is>
      </c>
      <c r="AJ34" s="25" t="inlineStr">
        <is>
          <t>P</t>
        </is>
      </c>
      <c r="AK34" s="25" t="inlineStr">
        <is>
          <t>P</t>
        </is>
      </c>
      <c r="AL34" s="25" t="inlineStr">
        <is>
          <t>P</t>
        </is>
      </c>
      <c r="AM34" s="25" t="inlineStr">
        <is>
          <t>P</t>
        </is>
      </c>
      <c r="AN34" s="25" t="inlineStr">
        <is>
          <t>P</t>
        </is>
      </c>
      <c r="AO34" s="25" t="inlineStr">
        <is>
          <t>P</t>
        </is>
      </c>
      <c r="AP34" s="25" t="inlineStr">
        <is>
          <t>P</t>
        </is>
      </c>
      <c r="AQ34" s="25" t="inlineStr">
        <is>
          <t>P</t>
        </is>
      </c>
      <c r="AR34" s="25" t="inlineStr">
        <is>
          <t>P</t>
        </is>
      </c>
      <c r="AS34" s="25" t="inlineStr">
        <is>
          <t>P</t>
        </is>
      </c>
      <c r="AT34" s="25" t="inlineStr">
        <is>
          <t>P</t>
        </is>
      </c>
      <c r="AU34" s="25" t="inlineStr">
        <is>
          <t>P</t>
        </is>
      </c>
      <c r="AV34" s="25" t="inlineStr">
        <is>
          <t>P</t>
        </is>
      </c>
      <c r="AW34" s="25" t="inlineStr">
        <is>
          <t>P</t>
        </is>
      </c>
      <c r="AX34" s="25" t="inlineStr">
        <is>
          <t>P</t>
        </is>
      </c>
      <c r="AY34" s="25" t="inlineStr">
        <is>
          <t>P</t>
        </is>
      </c>
      <c r="AZ34" s="25" t="inlineStr">
        <is>
          <t>P</t>
        </is>
      </c>
      <c r="BA34" s="25" t="inlineStr">
        <is>
          <t>P</t>
        </is>
      </c>
      <c r="BB34" s="25" t="inlineStr">
        <is>
          <t>P</t>
        </is>
      </c>
      <c r="BC34" s="25" t="inlineStr">
        <is>
          <t>P</t>
        </is>
      </c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26" t="n">
        <v>46215</v>
      </c>
      <c r="K35" s="26" t="n">
        <v>46215</v>
      </c>
      <c r="L35" s="26" t="n">
        <v>46215</v>
      </c>
      <c r="M35" s="26" t="n">
        <v>46215</v>
      </c>
      <c r="N35" s="26" t="n">
        <v>46215</v>
      </c>
      <c r="O35" s="26" t="n">
        <v>46215</v>
      </c>
      <c r="P35" s="26" t="n">
        <v>46215</v>
      </c>
      <c r="Q35" s="26" t="n">
        <v>46215</v>
      </c>
      <c r="R35" s="26" t="n">
        <v>46215</v>
      </c>
      <c r="S35" s="26" t="n">
        <v>46215</v>
      </c>
      <c r="T35" s="26" t="n">
        <v>46215</v>
      </c>
      <c r="U35" s="26" t="n">
        <v>46215</v>
      </c>
      <c r="V35" s="26" t="n">
        <v>46215</v>
      </c>
      <c r="W35" s="26" t="n">
        <v>46215</v>
      </c>
      <c r="X35" s="26" t="n">
        <v>46215</v>
      </c>
      <c r="Y35" s="26" t="n">
        <v>46215</v>
      </c>
      <c r="Z35" s="26" t="n">
        <v>46215</v>
      </c>
      <c r="AA35" s="26" t="n">
        <v>46215</v>
      </c>
      <c r="AB35" s="26" t="n">
        <v>46215</v>
      </c>
      <c r="AC35" s="26" t="n">
        <v>46215</v>
      </c>
      <c r="AD35" s="26" t="n">
        <v>46215</v>
      </c>
      <c r="AE35" s="26" t="n">
        <v>46215</v>
      </c>
      <c r="AF35" s="26" t="n">
        <v>46215</v>
      </c>
      <c r="AG35" s="26" t="n">
        <v>46215</v>
      </c>
      <c r="AH35" s="26" t="n">
        <v>46215</v>
      </c>
      <c r="AI35" s="26" t="n">
        <v>46215</v>
      </c>
      <c r="AJ35" s="26" t="n">
        <v>46215</v>
      </c>
      <c r="AK35" s="26" t="n">
        <v>46215</v>
      </c>
      <c r="AL35" s="26" t="n">
        <v>46215</v>
      </c>
      <c r="AM35" s="26" t="n">
        <v>46215</v>
      </c>
      <c r="AN35" s="26" t="n">
        <v>46215</v>
      </c>
      <c r="AO35" s="26" t="n">
        <v>46215</v>
      </c>
      <c r="AP35" s="26" t="n">
        <v>46215</v>
      </c>
      <c r="AQ35" s="26" t="n">
        <v>46215</v>
      </c>
      <c r="AR35" s="26" t="n">
        <v>46215</v>
      </c>
      <c r="AS35" s="26" t="n">
        <v>46215</v>
      </c>
      <c r="AT35" s="26" t="n">
        <v>46215</v>
      </c>
      <c r="AU35" s="26" t="n">
        <v>46215</v>
      </c>
      <c r="AV35" s="26" t="n">
        <v>46215</v>
      </c>
      <c r="AW35" s="26" t="n">
        <v>46215</v>
      </c>
      <c r="AX35" s="26" t="n">
        <v>46215</v>
      </c>
      <c r="AY35" s="26" t="n">
        <v>46215</v>
      </c>
      <c r="AZ35" s="26" t="n">
        <v>46215</v>
      </c>
      <c r="BA35" s="26" t="n">
        <v>46215</v>
      </c>
      <c r="BB35" s="26" t="n">
        <v>46215</v>
      </c>
      <c r="BC35" s="26" t="n">
        <v>46215</v>
      </c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</row>
  </sheetData>
  <mergeCells count="27">
    <mergeCell ref="B33:E33"/>
    <mergeCell ref="F2:K2"/>
    <mergeCell ref="O7:BC7"/>
    <mergeCell ref="A6:B6"/>
    <mergeCell ref="B36:E36"/>
    <mergeCell ref="C4:D4"/>
    <mergeCell ref="C2:E2"/>
    <mergeCell ref="L2:BC2"/>
    <mergeCell ref="O6:BC6"/>
    <mergeCell ref="A7:B7"/>
    <mergeCell ref="B35:E35"/>
    <mergeCell ref="C5:BC5"/>
    <mergeCell ref="C7:E7"/>
    <mergeCell ref="L6:N6"/>
    <mergeCell ref="A3:B3"/>
    <mergeCell ref="A2:B2"/>
    <mergeCell ref="A5:B5"/>
    <mergeCell ref="C3:E3"/>
    <mergeCell ref="F4:K4"/>
    <mergeCell ref="C6:E6"/>
    <mergeCell ref="A4:B4"/>
    <mergeCell ref="L4:BC4"/>
    <mergeCell ref="F6:K6"/>
    <mergeCell ref="F7:K7"/>
    <mergeCell ref="B34:E34"/>
    <mergeCell ref="L3:N3"/>
    <mergeCell ref="F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BC3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</cols>
  <sheetData>
    <row r="2">
      <c r="A2" s="15" t="inlineStr">
        <is>
          <t>Function Code</t>
        </is>
      </c>
      <c r="B2" s="16" t="n"/>
      <c r="C2" s="17" t="inlineStr">
        <is>
          <t>EmailWorkerTest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EmailWorker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</row>
    <row r="4">
      <c r="A4" s="15" t="inlineStr">
        <is>
          <t>Lines  of code</t>
        </is>
      </c>
      <c r="B4" s="16" t="n"/>
      <c r="C4" s="17" t="n">
        <v>189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</row>
    <row r="5">
      <c r="A5" s="15" t="inlineStr">
        <is>
          <t>Test requirement</t>
        </is>
      </c>
      <c r="B5" s="16" t="n"/>
      <c r="C5" s="17" t="inlineStr">
        <is>
          <t>Unit test for EmailWorker (asyncEmailSender)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</row>
    <row r="7">
      <c r="A7" s="20">
        <f>COUNTIF(F36:BC36,"P")</f>
        <v/>
      </c>
      <c r="B7" s="4" t="n"/>
      <c r="C7" s="20">
        <f>COUNTIF(F36:BC36,"F")</f>
        <v/>
      </c>
      <c r="D7" s="4" t="n"/>
      <c r="E7" s="4" t="n"/>
      <c r="F7" s="20">
        <f>50-A7-C7</f>
        <v/>
      </c>
      <c r="G7" s="4" t="n"/>
      <c r="H7" s="4" t="n"/>
      <c r="I7" s="4" t="n"/>
      <c r="J7" s="4" t="n"/>
      <c r="K7" s="4" t="n"/>
      <c r="L7" s="17">
        <f>COUNTIF(F35:BC35,"N")</f>
        <v/>
      </c>
      <c r="M7" s="17">
        <f>COUNTIF(F35:BC35,"A")</f>
        <v/>
      </c>
      <c r="N7" s="17">
        <f>COUNTIF(F35:BC35,"B")</f>
        <v/>
      </c>
      <c r="O7" s="20" t="n">
        <v>50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</row>
    <row r="14">
      <c r="A14" s="16" t="n"/>
      <c r="B14" s="18" t="inlineStr">
        <is>
          <t>tempName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</row>
    <row r="17">
      <c r="A17" s="16" t="n"/>
      <c r="B17" s="18" t="inlineStr">
        <is>
          <t>userName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</row>
    <row r="20">
      <c r="A20" s="16" t="n"/>
      <c r="B20" s="18" t="inlineStr">
        <is>
          <t>bookTitle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</row>
    <row r="23">
      <c r="A23" s="16" t="n"/>
      <c r="B23" s="18" t="inlineStr">
        <is>
          <t>index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  <c r="AY24" s="24" t="inlineStr">
        <is>
          <t>O</t>
        </is>
      </c>
      <c r="AZ24" s="24" t="inlineStr">
        <is>
          <t>O</t>
        </is>
      </c>
      <c r="BA24" s="24" t="inlineStr">
        <is>
          <t>O</t>
        </is>
      </c>
      <c r="BB24" s="24" t="inlineStr">
        <is>
          <t>O</t>
        </is>
      </c>
      <c r="BC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</row>
    <row r="27">
      <c r="A27" s="15" t="inlineStr">
        <is>
          <t>Confirm</t>
        </is>
      </c>
      <c r="B27" s="18" t="inlineStr">
        <is>
          <t>Return</t>
        </is>
      </c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</row>
    <row r="28">
      <c r="A28" s="16" t="n"/>
      <c r="B28" s="19" t="n"/>
      <c r="C28" s="19" t="n"/>
      <c r="D28" s="23" t="inlineStr">
        <is>
          <t>Assertion verified</t>
        </is>
      </c>
      <c r="E28" s="22" t="n"/>
      <c r="F28" s="24" t="inlineStr">
        <is>
          <t>O</t>
        </is>
      </c>
      <c r="G28" s="24" t="inlineStr">
        <is>
          <t>O</t>
        </is>
      </c>
      <c r="H28" s="24" t="inlineStr">
        <is>
          <t>O</t>
        </is>
      </c>
      <c r="I28" s="24" t="inlineStr">
        <is>
          <t>O</t>
        </is>
      </c>
      <c r="J28" s="24" t="inlineStr">
        <is>
          <t>O</t>
        </is>
      </c>
      <c r="K28" s="24" t="inlineStr">
        <is>
          <t>O</t>
        </is>
      </c>
      <c r="L28" s="24" t="inlineStr">
        <is>
          <t>O</t>
        </is>
      </c>
      <c r="M28" s="24" t="inlineStr">
        <is>
          <t>O</t>
        </is>
      </c>
      <c r="N28" s="24" t="inlineStr">
        <is>
          <t>O</t>
        </is>
      </c>
      <c r="O28" s="24" t="inlineStr">
        <is>
          <t>O</t>
        </is>
      </c>
      <c r="P28" s="24" t="inlineStr">
        <is>
          <t>O</t>
        </is>
      </c>
      <c r="Q28" s="24" t="inlineStr">
        <is>
          <t>O</t>
        </is>
      </c>
      <c r="R28" s="24" t="inlineStr">
        <is>
          <t>O</t>
        </is>
      </c>
      <c r="S28" s="24" t="inlineStr">
        <is>
          <t>O</t>
        </is>
      </c>
      <c r="T28" s="24" t="inlineStr">
        <is>
          <t>O</t>
        </is>
      </c>
      <c r="U28" s="24" t="inlineStr">
        <is>
          <t>O</t>
        </is>
      </c>
      <c r="V28" s="24" t="inlineStr">
        <is>
          <t>O</t>
        </is>
      </c>
      <c r="W28" s="24" t="inlineStr">
        <is>
          <t>O</t>
        </is>
      </c>
      <c r="X28" s="24" t="inlineStr">
        <is>
          <t>O</t>
        </is>
      </c>
      <c r="Y28" s="24" t="inlineStr">
        <is>
          <t>O</t>
        </is>
      </c>
      <c r="Z28" s="24" t="inlineStr">
        <is>
          <t>O</t>
        </is>
      </c>
      <c r="AA28" s="24" t="inlineStr">
        <is>
          <t>O</t>
        </is>
      </c>
      <c r="AB28" s="24" t="inlineStr">
        <is>
          <t>O</t>
        </is>
      </c>
      <c r="AC28" s="24" t="inlineStr">
        <is>
          <t>O</t>
        </is>
      </c>
      <c r="AD28" s="24" t="inlineStr">
        <is>
          <t>O</t>
        </is>
      </c>
      <c r="AE28" s="24" t="inlineStr">
        <is>
          <t>O</t>
        </is>
      </c>
      <c r="AF28" s="24" t="inlineStr">
        <is>
          <t>O</t>
        </is>
      </c>
      <c r="AG28" s="24" t="inlineStr">
        <is>
          <t>O</t>
        </is>
      </c>
      <c r="AH28" s="24" t="inlineStr">
        <is>
          <t>O</t>
        </is>
      </c>
      <c r="AI28" s="24" t="inlineStr">
        <is>
          <t>O</t>
        </is>
      </c>
      <c r="AJ28" s="24" t="inlineStr">
        <is>
          <t>O</t>
        </is>
      </c>
      <c r="AK28" s="24" t="inlineStr">
        <is>
          <t>O</t>
        </is>
      </c>
      <c r="AL28" s="24" t="inlineStr">
        <is>
          <t>O</t>
        </is>
      </c>
      <c r="AM28" s="24" t="inlineStr">
        <is>
          <t>O</t>
        </is>
      </c>
      <c r="AN28" s="24" t="inlineStr">
        <is>
          <t>O</t>
        </is>
      </c>
      <c r="AO28" s="24" t="inlineStr">
        <is>
          <t>O</t>
        </is>
      </c>
      <c r="AP28" s="24" t="inlineStr">
        <is>
          <t>O</t>
        </is>
      </c>
      <c r="AQ28" s="24" t="inlineStr">
        <is>
          <t>O</t>
        </is>
      </c>
      <c r="AR28" s="24" t="inlineStr">
        <is>
          <t>O</t>
        </is>
      </c>
      <c r="AS28" s="24" t="inlineStr">
        <is>
          <t>O</t>
        </is>
      </c>
      <c r="AT28" s="24" t="inlineStr">
        <is>
          <t>O</t>
        </is>
      </c>
      <c r="AU28" s="24" t="inlineStr">
        <is>
          <t>O</t>
        </is>
      </c>
      <c r="AV28" s="24" t="inlineStr">
        <is>
          <t>O</t>
        </is>
      </c>
      <c r="AW28" s="24" t="inlineStr">
        <is>
          <t>O</t>
        </is>
      </c>
      <c r="AX28" s="24" t="inlineStr">
        <is>
          <t>O</t>
        </is>
      </c>
      <c r="AY28" s="24" t="inlineStr">
        <is>
          <t>O</t>
        </is>
      </c>
      <c r="AZ28" s="24" t="inlineStr">
        <is>
          <t>O</t>
        </is>
      </c>
      <c r="BA28" s="24" t="inlineStr">
        <is>
          <t>O</t>
        </is>
      </c>
      <c r="BB28" s="24" t="inlineStr">
        <is>
          <t>O</t>
        </is>
      </c>
      <c r="BC28" s="24" t="inlineStr">
        <is>
          <t>O</t>
        </is>
      </c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</row>
    <row r="30">
      <c r="A30" s="16" t="n"/>
      <c r="B30" s="18" t="inlineStr">
        <is>
          <t>Exception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</row>
    <row r="32">
      <c r="A32" s="16" t="n"/>
      <c r="B32" s="18" t="inlineStr">
        <is>
          <t>Log message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</row>
    <row r="33">
      <c r="A33" s="16" t="n"/>
      <c r="B33" s="19" t="n"/>
      <c r="C33" s="19" t="n"/>
      <c r="D33" s="19" t="n"/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</row>
    <row r="35">
      <c r="A35" s="15" t="inlineStr">
        <is>
          <t>Result</t>
        </is>
      </c>
      <c r="B35" s="17" t="inlineStr">
        <is>
          <t>Type(N : Normal, A : Abnormal, B : Boundary)</t>
        </is>
      </c>
      <c r="C35" s="4" t="n"/>
      <c r="D35" s="4" t="n"/>
      <c r="E35" s="4" t="n"/>
      <c r="F35" s="25" t="inlineStr">
        <is>
          <t>N</t>
        </is>
      </c>
      <c r="G35" s="25" t="inlineStr">
        <is>
          <t>N</t>
        </is>
      </c>
      <c r="H35" s="25" t="inlineStr">
        <is>
          <t>N</t>
        </is>
      </c>
      <c r="I35" s="25" t="inlineStr">
        <is>
          <t>N</t>
        </is>
      </c>
      <c r="J35" s="25" t="inlineStr">
        <is>
          <t>N</t>
        </is>
      </c>
      <c r="K35" s="25" t="inlineStr">
        <is>
          <t>N</t>
        </is>
      </c>
      <c r="L35" s="25" t="inlineStr">
        <is>
          <t>N</t>
        </is>
      </c>
      <c r="M35" s="25" t="inlineStr">
        <is>
          <t>N</t>
        </is>
      </c>
      <c r="N35" s="25" t="inlineStr">
        <is>
          <t>N</t>
        </is>
      </c>
      <c r="O35" s="25" t="inlineStr">
        <is>
          <t>N</t>
        </is>
      </c>
      <c r="P35" s="25" t="inlineStr">
        <is>
          <t>N</t>
        </is>
      </c>
      <c r="Q35" s="25" t="inlineStr">
        <is>
          <t>N</t>
        </is>
      </c>
      <c r="R35" s="25" t="inlineStr">
        <is>
          <t>N</t>
        </is>
      </c>
      <c r="S35" s="25" t="inlineStr">
        <is>
          <t>N</t>
        </is>
      </c>
      <c r="T35" s="25" t="inlineStr">
        <is>
          <t>N</t>
        </is>
      </c>
      <c r="U35" s="25" t="inlineStr">
        <is>
          <t>N</t>
        </is>
      </c>
      <c r="V35" s="25" t="inlineStr">
        <is>
          <t>N</t>
        </is>
      </c>
      <c r="W35" s="25" t="inlineStr">
        <is>
          <t>N</t>
        </is>
      </c>
      <c r="X35" s="25" t="inlineStr">
        <is>
          <t>N</t>
        </is>
      </c>
      <c r="Y35" s="25" t="inlineStr">
        <is>
          <t>N</t>
        </is>
      </c>
      <c r="Z35" s="25" t="inlineStr">
        <is>
          <t>N</t>
        </is>
      </c>
      <c r="AA35" s="25" t="inlineStr">
        <is>
          <t>N</t>
        </is>
      </c>
      <c r="AB35" s="25" t="inlineStr">
        <is>
          <t>N</t>
        </is>
      </c>
      <c r="AC35" s="25" t="inlineStr">
        <is>
          <t>N</t>
        </is>
      </c>
      <c r="AD35" s="25" t="inlineStr">
        <is>
          <t>N</t>
        </is>
      </c>
      <c r="AE35" s="25" t="inlineStr">
        <is>
          <t>N</t>
        </is>
      </c>
      <c r="AF35" s="25" t="inlineStr">
        <is>
          <t>N</t>
        </is>
      </c>
      <c r="AG35" s="25" t="inlineStr">
        <is>
          <t>N</t>
        </is>
      </c>
      <c r="AH35" s="25" t="inlineStr">
        <is>
          <t>N</t>
        </is>
      </c>
      <c r="AI35" s="25" t="inlineStr">
        <is>
          <t>N</t>
        </is>
      </c>
      <c r="AJ35" s="25" t="inlineStr">
        <is>
          <t>N</t>
        </is>
      </c>
      <c r="AK35" s="25" t="inlineStr">
        <is>
          <t>N</t>
        </is>
      </c>
      <c r="AL35" s="25" t="inlineStr">
        <is>
          <t>N</t>
        </is>
      </c>
      <c r="AM35" s="25" t="inlineStr">
        <is>
          <t>N</t>
        </is>
      </c>
      <c r="AN35" s="25" t="inlineStr">
        <is>
          <t>N</t>
        </is>
      </c>
      <c r="AO35" s="25" t="inlineStr">
        <is>
          <t>N</t>
        </is>
      </c>
      <c r="AP35" s="25" t="inlineStr">
        <is>
          <t>N</t>
        </is>
      </c>
      <c r="AQ35" s="25" t="inlineStr">
        <is>
          <t>N</t>
        </is>
      </c>
      <c r="AR35" s="25" t="inlineStr">
        <is>
          <t>N</t>
        </is>
      </c>
      <c r="AS35" s="25" t="inlineStr">
        <is>
          <t>N</t>
        </is>
      </c>
      <c r="AT35" s="25" t="inlineStr">
        <is>
          <t>N</t>
        </is>
      </c>
      <c r="AU35" s="25" t="inlineStr">
        <is>
          <t>N</t>
        </is>
      </c>
      <c r="AV35" s="25" t="inlineStr">
        <is>
          <t>N</t>
        </is>
      </c>
      <c r="AW35" s="25" t="inlineStr">
        <is>
          <t>N</t>
        </is>
      </c>
      <c r="AX35" s="25" t="inlineStr">
        <is>
          <t>N</t>
        </is>
      </c>
      <c r="AY35" s="25" t="inlineStr">
        <is>
          <t>N</t>
        </is>
      </c>
      <c r="AZ35" s="25" t="inlineStr">
        <is>
          <t>N</t>
        </is>
      </c>
      <c r="BA35" s="25" t="inlineStr">
        <is>
          <t>N</t>
        </is>
      </c>
      <c r="BB35" s="25" t="inlineStr">
        <is>
          <t>N</t>
        </is>
      </c>
      <c r="BC35" s="25" t="inlineStr">
        <is>
          <t>N</t>
        </is>
      </c>
    </row>
    <row r="36">
      <c r="A36" s="16" t="n"/>
      <c r="B36" s="17" t="inlineStr">
        <is>
          <t>Passed/Failed</t>
        </is>
      </c>
      <c r="C36" s="4" t="n"/>
      <c r="D36" s="4" t="n"/>
      <c r="E36" s="4" t="n"/>
      <c r="F36" s="25" t="inlineStr">
        <is>
          <t>P</t>
        </is>
      </c>
      <c r="G36" s="25" t="inlineStr">
        <is>
          <t>P</t>
        </is>
      </c>
      <c r="H36" s="25" t="inlineStr">
        <is>
          <t>P</t>
        </is>
      </c>
      <c r="I36" s="25" t="inlineStr">
        <is>
          <t>P</t>
        </is>
      </c>
      <c r="J36" s="25" t="inlineStr">
        <is>
          <t>P</t>
        </is>
      </c>
      <c r="K36" s="25" t="inlineStr">
        <is>
          <t>P</t>
        </is>
      </c>
      <c r="L36" s="25" t="inlineStr">
        <is>
          <t>P</t>
        </is>
      </c>
      <c r="M36" s="25" t="inlineStr">
        <is>
          <t>P</t>
        </is>
      </c>
      <c r="N36" s="25" t="inlineStr">
        <is>
          <t>P</t>
        </is>
      </c>
      <c r="O36" s="25" t="inlineStr">
        <is>
          <t>P</t>
        </is>
      </c>
      <c r="P36" s="25" t="inlineStr">
        <is>
          <t>P</t>
        </is>
      </c>
      <c r="Q36" s="25" t="inlineStr">
        <is>
          <t>P</t>
        </is>
      </c>
      <c r="R36" s="25" t="inlineStr">
        <is>
          <t>P</t>
        </is>
      </c>
      <c r="S36" s="25" t="inlineStr">
        <is>
          <t>P</t>
        </is>
      </c>
      <c r="T36" s="25" t="inlineStr">
        <is>
          <t>P</t>
        </is>
      </c>
      <c r="U36" s="25" t="inlineStr">
        <is>
          <t>P</t>
        </is>
      </c>
      <c r="V36" s="25" t="inlineStr">
        <is>
          <t>P</t>
        </is>
      </c>
      <c r="W36" s="25" t="inlineStr">
        <is>
          <t>P</t>
        </is>
      </c>
      <c r="X36" s="25" t="inlineStr">
        <is>
          <t>P</t>
        </is>
      </c>
      <c r="Y36" s="25" t="inlineStr">
        <is>
          <t>P</t>
        </is>
      </c>
      <c r="Z36" s="25" t="inlineStr">
        <is>
          <t>P</t>
        </is>
      </c>
      <c r="AA36" s="25" t="inlineStr">
        <is>
          <t>P</t>
        </is>
      </c>
      <c r="AB36" s="25" t="inlineStr">
        <is>
          <t>P</t>
        </is>
      </c>
      <c r="AC36" s="25" t="inlineStr">
        <is>
          <t>P</t>
        </is>
      </c>
      <c r="AD36" s="25" t="inlineStr">
        <is>
          <t>P</t>
        </is>
      </c>
      <c r="AE36" s="25" t="inlineStr">
        <is>
          <t>P</t>
        </is>
      </c>
      <c r="AF36" s="25" t="inlineStr">
        <is>
          <t>P</t>
        </is>
      </c>
      <c r="AG36" s="25" t="inlineStr">
        <is>
          <t>P</t>
        </is>
      </c>
      <c r="AH36" s="25" t="inlineStr">
        <is>
          <t>P</t>
        </is>
      </c>
      <c r="AI36" s="25" t="inlineStr">
        <is>
          <t>P</t>
        </is>
      </c>
      <c r="AJ36" s="25" t="inlineStr">
        <is>
          <t>P</t>
        </is>
      </c>
      <c r="AK36" s="25" t="inlineStr">
        <is>
          <t>P</t>
        </is>
      </c>
      <c r="AL36" s="25" t="inlineStr">
        <is>
          <t>P</t>
        </is>
      </c>
      <c r="AM36" s="25" t="inlineStr">
        <is>
          <t>P</t>
        </is>
      </c>
      <c r="AN36" s="25" t="inlineStr">
        <is>
          <t>P</t>
        </is>
      </c>
      <c r="AO36" s="25" t="inlineStr">
        <is>
          <t>P</t>
        </is>
      </c>
      <c r="AP36" s="25" t="inlineStr">
        <is>
          <t>P</t>
        </is>
      </c>
      <c r="AQ36" s="25" t="inlineStr">
        <is>
          <t>P</t>
        </is>
      </c>
      <c r="AR36" s="25" t="inlineStr">
        <is>
          <t>P</t>
        </is>
      </c>
      <c r="AS36" s="25" t="inlineStr">
        <is>
          <t>P</t>
        </is>
      </c>
      <c r="AT36" s="25" t="inlineStr">
        <is>
          <t>P</t>
        </is>
      </c>
      <c r="AU36" s="25" t="inlineStr">
        <is>
          <t>P</t>
        </is>
      </c>
      <c r="AV36" s="25" t="inlineStr">
        <is>
          <t>P</t>
        </is>
      </c>
      <c r="AW36" s="25" t="inlineStr">
        <is>
          <t>P</t>
        </is>
      </c>
      <c r="AX36" s="25" t="inlineStr">
        <is>
          <t>P</t>
        </is>
      </c>
      <c r="AY36" s="25" t="inlineStr">
        <is>
          <t>P</t>
        </is>
      </c>
      <c r="AZ36" s="25" t="inlineStr">
        <is>
          <t>P</t>
        </is>
      </c>
      <c r="BA36" s="25" t="inlineStr">
        <is>
          <t>P</t>
        </is>
      </c>
      <c r="BB36" s="25" t="inlineStr">
        <is>
          <t>P</t>
        </is>
      </c>
      <c r="BC36" s="25" t="inlineStr">
        <is>
          <t>P</t>
        </is>
      </c>
    </row>
    <row r="37">
      <c r="A37" s="16" t="n"/>
      <c r="B37" s="17" t="inlineStr">
        <is>
          <t>Executed Date</t>
        </is>
      </c>
      <c r="C37" s="4" t="n"/>
      <c r="D37" s="4" t="n"/>
      <c r="E37" s="4" t="n"/>
      <c r="F37" s="26" t="n">
        <v>46215</v>
      </c>
      <c r="G37" s="26" t="n">
        <v>46215</v>
      </c>
      <c r="H37" s="26" t="n">
        <v>46215</v>
      </c>
      <c r="I37" s="26" t="n">
        <v>46215</v>
      </c>
      <c r="J37" s="26" t="n">
        <v>46215</v>
      </c>
      <c r="K37" s="26" t="n">
        <v>46215</v>
      </c>
      <c r="L37" s="26" t="n">
        <v>46215</v>
      </c>
      <c r="M37" s="26" t="n">
        <v>46215</v>
      </c>
      <c r="N37" s="26" t="n">
        <v>46215</v>
      </c>
      <c r="O37" s="26" t="n">
        <v>46215</v>
      </c>
      <c r="P37" s="26" t="n">
        <v>46215</v>
      </c>
      <c r="Q37" s="26" t="n">
        <v>46215</v>
      </c>
      <c r="R37" s="26" t="n">
        <v>46215</v>
      </c>
      <c r="S37" s="26" t="n">
        <v>46215</v>
      </c>
      <c r="T37" s="26" t="n">
        <v>46215</v>
      </c>
      <c r="U37" s="26" t="n">
        <v>46215</v>
      </c>
      <c r="V37" s="26" t="n">
        <v>46215</v>
      </c>
      <c r="W37" s="26" t="n">
        <v>46215</v>
      </c>
      <c r="X37" s="26" t="n">
        <v>46215</v>
      </c>
      <c r="Y37" s="26" t="n">
        <v>46215</v>
      </c>
      <c r="Z37" s="26" t="n">
        <v>46215</v>
      </c>
      <c r="AA37" s="26" t="n">
        <v>46215</v>
      </c>
      <c r="AB37" s="26" t="n">
        <v>46215</v>
      </c>
      <c r="AC37" s="26" t="n">
        <v>46215</v>
      </c>
      <c r="AD37" s="26" t="n">
        <v>46215</v>
      </c>
      <c r="AE37" s="26" t="n">
        <v>46215</v>
      </c>
      <c r="AF37" s="26" t="n">
        <v>46215</v>
      </c>
      <c r="AG37" s="26" t="n">
        <v>46215</v>
      </c>
      <c r="AH37" s="26" t="n">
        <v>46215</v>
      </c>
      <c r="AI37" s="26" t="n">
        <v>46215</v>
      </c>
      <c r="AJ37" s="26" t="n">
        <v>46215</v>
      </c>
      <c r="AK37" s="26" t="n">
        <v>46215</v>
      </c>
      <c r="AL37" s="26" t="n">
        <v>46215</v>
      </c>
      <c r="AM37" s="26" t="n">
        <v>46215</v>
      </c>
      <c r="AN37" s="26" t="n">
        <v>46215</v>
      </c>
      <c r="AO37" s="26" t="n">
        <v>46215</v>
      </c>
      <c r="AP37" s="26" t="n">
        <v>46215</v>
      </c>
      <c r="AQ37" s="26" t="n">
        <v>46215</v>
      </c>
      <c r="AR37" s="26" t="n">
        <v>46215</v>
      </c>
      <c r="AS37" s="26" t="n">
        <v>46215</v>
      </c>
      <c r="AT37" s="26" t="n">
        <v>46215</v>
      </c>
      <c r="AU37" s="26" t="n">
        <v>46215</v>
      </c>
      <c r="AV37" s="26" t="n">
        <v>46215</v>
      </c>
      <c r="AW37" s="26" t="n">
        <v>46215</v>
      </c>
      <c r="AX37" s="26" t="n">
        <v>46215</v>
      </c>
      <c r="AY37" s="26" t="n">
        <v>46215</v>
      </c>
      <c r="AZ37" s="26" t="n">
        <v>46215</v>
      </c>
      <c r="BA37" s="26" t="n">
        <v>46215</v>
      </c>
      <c r="BB37" s="26" t="n">
        <v>46215</v>
      </c>
      <c r="BC37" s="26" t="n">
        <v>46215</v>
      </c>
    </row>
    <row r="38">
      <c r="A38" s="16" t="n"/>
      <c r="B38" s="17" t="inlineStr">
        <is>
          <t>Defect ID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</row>
  </sheetData>
  <mergeCells count="27">
    <mergeCell ref="F2:K2"/>
    <mergeCell ref="O7:BC7"/>
    <mergeCell ref="A6:B6"/>
    <mergeCell ref="B36:E36"/>
    <mergeCell ref="C4:D4"/>
    <mergeCell ref="C2:E2"/>
    <mergeCell ref="L2:BC2"/>
    <mergeCell ref="O6:BC6"/>
    <mergeCell ref="A7:B7"/>
    <mergeCell ref="B35:E35"/>
    <mergeCell ref="C5:BC5"/>
    <mergeCell ref="C7:E7"/>
    <mergeCell ref="L6:N6"/>
    <mergeCell ref="A3:B3"/>
    <mergeCell ref="A2:B2"/>
    <mergeCell ref="A5:B5"/>
    <mergeCell ref="C3:E3"/>
    <mergeCell ref="F4:K4"/>
    <mergeCell ref="C6:E6"/>
    <mergeCell ref="A4:B4"/>
    <mergeCell ref="L4:BC4"/>
    <mergeCell ref="F6:K6"/>
    <mergeCell ref="B38:E38"/>
    <mergeCell ref="F7:K7"/>
    <mergeCell ref="B37:E37"/>
    <mergeCell ref="L3:N3"/>
    <mergeCell ref="F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</cols>
  <sheetData>
    <row r="2">
      <c r="A2" s="15" t="inlineStr">
        <is>
          <t>Function Code</t>
        </is>
      </c>
      <c r="B2" s="16" t="n"/>
      <c r="C2" s="17" t="inlineStr">
        <is>
          <t>BookCopyDAOTest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BookCopyDAO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451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44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BookCopyDAO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COUNTIF(F34:F34,"P")</f>
        <v/>
      </c>
      <c r="B7" s="4" t="n"/>
      <c r="C7" s="20">
        <f>COUNTIF(F34:F34,"F")</f>
        <v/>
      </c>
      <c r="D7" s="4" t="n"/>
      <c r="E7" s="4" t="n"/>
      <c r="F7" s="20">
        <f>1-A7-C7</f>
        <v/>
      </c>
      <c r="G7" s="4" t="n"/>
      <c r="H7" s="4" t="n"/>
      <c r="I7" s="4" t="n"/>
      <c r="J7" s="4" t="n"/>
      <c r="K7" s="4" t="n"/>
      <c r="L7" s="17">
        <f>COUNTIF(F33:F33,"N")</f>
        <v/>
      </c>
      <c r="M7" s="17">
        <f>COUNTIF(F33:F33,"A")</f>
        <v/>
      </c>
      <c r="N7" s="17">
        <f>COUNTIF(F33:F33,"B")</f>
        <v/>
      </c>
      <c r="O7" s="20" t="n">
        <v>1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insertCreatesGoodAvailableCopy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</cols>
  <sheetData>
    <row r="2">
      <c r="A2" s="15" t="inlineStr">
        <is>
          <t>Function Code</t>
        </is>
      </c>
      <c r="B2" s="16" t="n"/>
      <c r="C2" s="17" t="inlineStr">
        <is>
          <t>BookCopyIncidentDAOTest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BookCopyIncidentDAO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235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21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BookCopyIncidentDAO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COUNTIF(F34:G34,"P")</f>
        <v/>
      </c>
      <c r="B7" s="4" t="n"/>
      <c r="C7" s="20">
        <f>COUNTIF(F34:G34,"F")</f>
        <v/>
      </c>
      <c r="D7" s="4" t="n"/>
      <c r="E7" s="4" t="n"/>
      <c r="F7" s="20">
        <f>2-A7-C7</f>
        <v/>
      </c>
      <c r="G7" s="4" t="n"/>
      <c r="H7" s="4" t="n"/>
      <c r="I7" s="4" t="n"/>
      <c r="J7" s="4" t="n"/>
      <c r="K7" s="4" t="n"/>
      <c r="L7" s="17">
        <f>COUNTIF(F33:G33,"N")</f>
        <v/>
      </c>
      <c r="M7" s="17">
        <f>COUNTIF(F33:G33,"A")</f>
        <v/>
      </c>
      <c r="N7" s="17">
        <f>COUNTIF(F33:G33,"B")</f>
        <v/>
      </c>
      <c r="O7" s="20" t="n">
        <v>2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reportThenResolveSynchronizesCopyAndAvai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insertPreventsTwoOpenIncidentsForSameCop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N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</cols>
  <sheetData>
    <row r="2">
      <c r="A2" s="15" t="inlineStr">
        <is>
          <t>Function Code</t>
        </is>
      </c>
      <c r="B2" s="16" t="n"/>
      <c r="C2" s="17" t="inlineStr">
        <is>
          <t>BookDAOTest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674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66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COUNTIF(F34:F34,"P")</f>
        <v/>
      </c>
      <c r="B7" s="4" t="n"/>
      <c r="C7" s="20">
        <f>COUNTIF(F34:F34,"F")</f>
        <v/>
      </c>
      <c r="D7" s="4" t="n"/>
      <c r="E7" s="4" t="n"/>
      <c r="F7" s="20">
        <f>1-A7-C7</f>
        <v/>
      </c>
      <c r="G7" s="4" t="n"/>
      <c r="H7" s="4" t="n"/>
      <c r="I7" s="4" t="n"/>
      <c r="J7" s="4" t="n"/>
      <c r="K7" s="4" t="n"/>
      <c r="L7" s="17">
        <f>COUNTIF(F33:F33,"N")</f>
        <v/>
      </c>
      <c r="M7" s="17">
        <f>COUNTIF(F33:F33,"A")</f>
        <v/>
      </c>
      <c r="N7" s="17">
        <f>COUNTIF(F33:F33,"B")</f>
        <v/>
      </c>
      <c r="O7" s="20" t="n">
        <v>1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insertCreatesBookWithZeroInventory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B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</cols>
  <sheetData>
    <row r="2">
      <c r="A2" s="15" t="inlineStr">
        <is>
          <t>Function Code</t>
        </is>
      </c>
      <c r="B2" s="16" t="n"/>
      <c r="C2" s="17" t="inlineStr">
        <is>
          <t>BookImportDAOTest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BookImportDAO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172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15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BookImportDAO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COUNTIF(F34:G34,"P")</f>
        <v/>
      </c>
      <c r="B7" s="4" t="n"/>
      <c r="C7" s="20">
        <f>COUNTIF(F34:G34,"F")</f>
        <v/>
      </c>
      <c r="D7" s="4" t="n"/>
      <c r="E7" s="4" t="n"/>
      <c r="F7" s="20">
        <f>2-A7-C7</f>
        <v/>
      </c>
      <c r="G7" s="4" t="n"/>
      <c r="H7" s="4" t="n"/>
      <c r="I7" s="4" t="n"/>
      <c r="J7" s="4" t="n"/>
      <c r="K7" s="4" t="n"/>
      <c r="L7" s="17">
        <f>COUNTIF(F33:G33,"N")</f>
        <v/>
      </c>
      <c r="M7" s="17">
        <f>COUNTIF(F33:G33,"A")</f>
        <v/>
      </c>
      <c r="N7" s="17">
        <f>COUNTIF(F33:G33,"B")</f>
        <v/>
      </c>
      <c r="O7" s="20" t="n">
        <v>2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importTransactionCreatesRelationsCopiesA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insertsFailedBatchAndErrorsInsideTransac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</cols>
  <sheetData>
    <row r="2">
      <c r="A2" s="15" t="inlineStr">
        <is>
          <t>Function Code</t>
        </is>
      </c>
      <c r="B2" s="16" t="n"/>
      <c r="C2" s="17" t="inlineStr">
        <is>
          <t>BorrowRecordDAOTest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BorrowRecordDAO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844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80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BorrowRecordDAO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COUNTIF(F34:I34,"P")</f>
        <v/>
      </c>
      <c r="B7" s="4" t="n"/>
      <c r="C7" s="20">
        <f>COUNTIF(F34:I34,"F")</f>
        <v/>
      </c>
      <c r="D7" s="4" t="n"/>
      <c r="E7" s="4" t="n"/>
      <c r="F7" s="20">
        <f>4-A7-C7</f>
        <v/>
      </c>
      <c r="G7" s="4" t="n"/>
      <c r="H7" s="4" t="n"/>
      <c r="I7" s="4" t="n"/>
      <c r="J7" s="4" t="n"/>
      <c r="K7" s="4" t="n"/>
      <c r="L7" s="17">
        <f>COUNTIF(F33:I33,"N")</f>
        <v/>
      </c>
      <c r="M7" s="17">
        <f>COUNTIF(F33:I33,"A")</f>
        <v/>
      </c>
      <c r="N7" s="17">
        <f>COUNTIF(F33:I33,"B")</f>
        <v/>
      </c>
      <c r="O7" s="20" t="n">
        <v>4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testInsertBorrowRecord_Success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testInsertBorrowRecord_FK_Failure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testUpdateStatusToReturned_Success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testFindActiveBorrowRecord_Found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N</t>
        </is>
      </c>
      <c r="I33" s="25" t="inlineStr">
        <is>
          <t>N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</cols>
  <sheetData>
    <row r="2">
      <c r="A2" s="15" t="inlineStr">
        <is>
          <t>Function Code</t>
        </is>
      </c>
      <c r="B2" s="16" t="n"/>
      <c r="C2" s="17" t="inlineStr">
        <is>
          <t>CategoryTagDAOTest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CategoryTagDAO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CategoryTagDAO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COUNTIF(F34:G34,"P")</f>
        <v/>
      </c>
      <c r="B7" s="4" t="n"/>
      <c r="C7" s="20">
        <f>COUNTIF(F34:G34,"F")</f>
        <v/>
      </c>
      <c r="D7" s="4" t="n"/>
      <c r="E7" s="4" t="n"/>
      <c r="F7" s="20">
        <f>2-A7-C7</f>
        <v/>
      </c>
      <c r="G7" s="4" t="n"/>
      <c r="H7" s="4" t="n"/>
      <c r="I7" s="4" t="n"/>
      <c r="J7" s="4" t="n"/>
      <c r="K7" s="4" t="n"/>
      <c r="L7" s="17">
        <f>COUNTIF(F33:G33,"N")</f>
        <v/>
      </c>
      <c r="M7" s="17">
        <f>COUNTIF(F33:G33,"A")</f>
        <v/>
      </c>
      <c r="N7" s="17">
        <f>COUNTIF(F33:G33,"B")</f>
        <v/>
      </c>
      <c r="O7" s="20" t="n">
        <v>2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insertAndFindCategoryAndTag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loadCategoryAndTagSummaries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N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</cols>
  <sheetData>
    <row r="2">
      <c r="A2" s="15" t="inlineStr">
        <is>
          <t>Function Code</t>
        </is>
      </c>
      <c r="B2" s="16" t="n"/>
      <c r="C2" s="17" t="inlineStr">
        <is>
          <t>FineDAOTest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FineDAO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422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39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FineDAO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COUNTIF(F34:H34,"P")</f>
        <v/>
      </c>
      <c r="B7" s="4" t="n"/>
      <c r="C7" s="20">
        <f>COUNTIF(F34:H34,"F")</f>
        <v/>
      </c>
      <c r="D7" s="4" t="n"/>
      <c r="E7" s="4" t="n"/>
      <c r="F7" s="20">
        <f>3-A7-C7</f>
        <v/>
      </c>
      <c r="G7" s="4" t="n"/>
      <c r="H7" s="4" t="n"/>
      <c r="I7" s="4" t="n"/>
      <c r="J7" s="4" t="n"/>
      <c r="K7" s="4" t="n"/>
      <c r="L7" s="17">
        <f>COUNTIF(F33:H33,"N")</f>
        <v/>
      </c>
      <c r="M7" s="17">
        <f>COUNTIF(F33:H33,"A")</f>
        <v/>
      </c>
      <c r="N7" s="17">
        <f>COUNTIF(F33:H33,"B")</f>
        <v/>
      </c>
      <c r="O7" s="20" t="n">
        <v>3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testInsertOverdueFine_Success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testUpdateStatusToPaid_Success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testHasUnpaidFines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N</t>
        </is>
      </c>
      <c r="H33" s="25" t="inlineStr">
        <is>
          <t>N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</cols>
  <sheetData>
    <row r="2">
      <c r="A2" s="15" t="inlineStr">
        <is>
          <t>Function Code</t>
        </is>
      </c>
      <c r="B2" s="16" t="n"/>
      <c r="C2" s="17" t="inlineStr">
        <is>
          <t>InventoryDAOTest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InventoryDAO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248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23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InventoryDAO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COUNTIF(F34:F34,"P")</f>
        <v/>
      </c>
      <c r="B7" s="4" t="n"/>
      <c r="C7" s="20">
        <f>COUNTIF(F34:F34,"F")</f>
        <v/>
      </c>
      <c r="D7" s="4" t="n"/>
      <c r="E7" s="4" t="n"/>
      <c r="F7" s="20">
        <f>1-A7-C7</f>
        <v/>
      </c>
      <c r="G7" s="4" t="n"/>
      <c r="H7" s="4" t="n"/>
      <c r="I7" s="4" t="n"/>
      <c r="J7" s="4" t="n"/>
      <c r="K7" s="4" t="n"/>
      <c r="L7" s="17">
        <f>COUNTIF(F33:F33,"N")</f>
        <v/>
      </c>
      <c r="M7" s="17">
        <f>COUNTIF(F33:F33,"A")</f>
        <v/>
      </c>
      <c r="N7" s="17">
        <f>COUNTIF(F33:F33,"B")</f>
        <v/>
      </c>
      <c r="O7" s="20" t="n">
        <v>1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createScanAndFinishCountingTracksResults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</cols>
  <sheetData>
    <row r="2">
      <c r="A2" s="15" t="inlineStr">
        <is>
          <t>Function Code</t>
        </is>
      </c>
      <c r="B2" s="16" t="n"/>
      <c r="C2" s="17" t="inlineStr">
        <is>
          <t>ReservationDAOTest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ReservationDAO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1020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99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ReservationDAO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COUNTIF(F34:H34,"P")</f>
        <v/>
      </c>
      <c r="B7" s="4" t="n"/>
      <c r="C7" s="20">
        <f>COUNTIF(F34:H34,"F")</f>
        <v/>
      </c>
      <c r="D7" s="4" t="n"/>
      <c r="E7" s="4" t="n"/>
      <c r="F7" s="20">
        <f>3-A7-C7</f>
        <v/>
      </c>
      <c r="G7" s="4" t="n"/>
      <c r="H7" s="4" t="n"/>
      <c r="I7" s="4" t="n"/>
      <c r="J7" s="4" t="n"/>
      <c r="K7" s="4" t="n"/>
      <c r="L7" s="17">
        <f>COUNTIF(F33:H33,"N")</f>
        <v/>
      </c>
      <c r="M7" s="17">
        <f>COUNTIF(F33:H33,"A")</f>
        <v/>
      </c>
      <c r="N7" s="17">
        <f>COUNTIF(F33:H33,"B")</f>
        <v/>
      </c>
      <c r="O7" s="20" t="n">
        <v>3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testInsertWalkIn_Success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testUpdateToReadyPickup_Success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testFindNextInQueue_FoundAndNotFound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24" t="inlineStr">
        <is>
          <t>O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N</t>
        </is>
      </c>
      <c r="H33" s="25" t="inlineStr">
        <is>
          <t>A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</cols>
  <sheetData>
    <row r="2">
      <c r="A2" s="15" t="inlineStr">
        <is>
          <t>Function Code</t>
        </is>
      </c>
      <c r="B2" s="16" t="n"/>
      <c r="C2" s="17" t="inlineStr">
        <is>
          <t>UserDAOTest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UserDAO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1005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96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UserDAO (dao)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COUNTIF(F34:I34,"P")</f>
        <v/>
      </c>
      <c r="B7" s="4" t="n"/>
      <c r="C7" s="20">
        <f>COUNTIF(F34:I34,"F")</f>
        <v/>
      </c>
      <c r="D7" s="4" t="n"/>
      <c r="E7" s="4" t="n"/>
      <c r="F7" s="20">
        <f>4-A7-C7</f>
        <v/>
      </c>
      <c r="G7" s="4" t="n"/>
      <c r="H7" s="4" t="n"/>
      <c r="I7" s="4" t="n"/>
      <c r="J7" s="4" t="n"/>
      <c r="K7" s="4" t="n"/>
      <c r="L7" s="17">
        <f>COUNTIF(F33:I33,"N")</f>
        <v/>
      </c>
      <c r="M7" s="17">
        <f>COUNTIF(F33:I33,"A")</f>
        <v/>
      </c>
      <c r="N7" s="17">
        <f>COUNTIF(F33:I33,"B")</f>
        <v/>
      </c>
      <c r="O7" s="20" t="n">
        <v>4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testCreateUserWithProfile_Success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testCreateUserWithProfile_DuplicateEmail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testUpdateUserStatus_Success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testExistsByEmail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N</t>
        </is>
      </c>
      <c r="I33" s="25" t="inlineStr">
        <is>
          <t>N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J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</cols>
  <sheetData>
    <row r="2">
      <c r="A2" s="15" t="inlineStr">
        <is>
          <t>Function Code</t>
        </is>
      </c>
      <c r="B2" s="16" t="n"/>
      <c r="C2" s="17" t="inlineStr">
        <is>
          <t>AiChatbotServiceIntegrationTest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AiChatbotService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15" t="inlineStr">
        <is>
          <t>Lines  of code</t>
        </is>
      </c>
      <c r="B4" s="16" t="n"/>
      <c r="C4" s="17" t="n">
        <v>473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16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15" t="inlineStr">
        <is>
          <t>Test requirement</t>
        </is>
      </c>
      <c r="B5" s="16" t="n"/>
      <c r="C5" s="17" t="inlineStr">
        <is>
          <t>Unit test for AiChatbotService (f14)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</row>
    <row r="7">
      <c r="A7" s="20">
        <f>COUNTIF(F45:AJ45,"P")</f>
        <v/>
      </c>
      <c r="B7" s="4" t="n"/>
      <c r="C7" s="20">
        <f>COUNTIF(F45:AJ45,"F")</f>
        <v/>
      </c>
      <c r="D7" s="4" t="n"/>
      <c r="E7" s="4" t="n"/>
      <c r="F7" s="20">
        <f>31-A7-C7</f>
        <v/>
      </c>
      <c r="G7" s="4" t="n"/>
      <c r="H7" s="4" t="n"/>
      <c r="I7" s="4" t="n"/>
      <c r="J7" s="4" t="n"/>
      <c r="K7" s="4" t="n"/>
      <c r="L7" s="17">
        <f>COUNTIF(F44:AJ44,"N")</f>
        <v/>
      </c>
      <c r="M7" s="17">
        <f>COUNTIF(F44:AJ44,"A")</f>
        <v/>
      </c>
      <c r="N7" s="17">
        <f>COUNTIF(F44:AJ44,"B")</f>
        <v/>
      </c>
      <c r="O7" s="20" t="n">
        <v>31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16" t="n"/>
      <c r="B17" s="18" t="inlineStr">
        <is>
          <t>query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</row>
    <row r="20">
      <c r="A20" s="16" t="n"/>
      <c r="B20" s="18" t="inlineStr">
        <is>
          <t>userId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16" t="n"/>
      <c r="B23" s="18" t="inlineStr">
        <is>
          <t>Map&lt;String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16" t="n"/>
      <c r="B26" s="18" t="inlineStr">
        <is>
          <t>List&lt;Map&lt;String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</row>
    <row r="29">
      <c r="A29" s="16" t="n"/>
      <c r="B29" s="18" t="inlineStr">
        <is>
          <t>dbData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</row>
    <row r="32">
      <c r="A32" s="16" t="n"/>
      <c r="B32" s="18" t="inlineStr">
        <is>
          <t>expectedPersonalized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  <c r="AF33" s="24" t="inlineStr">
        <is>
          <t>O</t>
        </is>
      </c>
      <c r="AG33" s="24" t="inlineStr">
        <is>
          <t>O</t>
        </is>
      </c>
      <c r="AH33" s="24" t="inlineStr">
        <is>
          <t>O</t>
        </is>
      </c>
      <c r="AI33" s="24" t="inlineStr">
        <is>
          <t>O</t>
        </is>
      </c>
      <c r="AJ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</row>
    <row r="36">
      <c r="A36" s="15" t="inlineStr">
        <is>
          <t>Confirm</t>
        </is>
      </c>
      <c r="B36" s="18" t="inlineStr">
        <is>
          <t>Return</t>
        </is>
      </c>
      <c r="C36" s="19" t="n"/>
      <c r="D36" s="19" t="n"/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</row>
    <row r="37">
      <c r="A37" s="16" t="n"/>
      <c r="B37" s="19" t="n"/>
      <c r="C37" s="19" t="n"/>
      <c r="D37" s="23" t="inlineStr">
        <is>
          <t>Assertion verified</t>
        </is>
      </c>
      <c r="E37" s="22" t="n"/>
      <c r="F37" s="24" t="inlineStr">
        <is>
          <t>O</t>
        </is>
      </c>
      <c r="G37" s="24" t="inlineStr">
        <is>
          <t>O</t>
        </is>
      </c>
      <c r="H37" s="24" t="inlineStr">
        <is>
          <t>O</t>
        </is>
      </c>
      <c r="I37" s="24" t="inlineStr">
        <is>
          <t>O</t>
        </is>
      </c>
      <c r="J37" s="24" t="inlineStr">
        <is>
          <t>O</t>
        </is>
      </c>
      <c r="K37" s="24" t="inlineStr">
        <is>
          <t>O</t>
        </is>
      </c>
      <c r="L37" s="24" t="inlineStr">
        <is>
          <t>O</t>
        </is>
      </c>
      <c r="M37" s="24" t="inlineStr">
        <is>
          <t>O</t>
        </is>
      </c>
      <c r="N37" s="24" t="inlineStr">
        <is>
          <t>O</t>
        </is>
      </c>
      <c r="O37" s="24" t="inlineStr">
        <is>
          <t>O</t>
        </is>
      </c>
      <c r="P37" s="24" t="inlineStr">
        <is>
          <t>O</t>
        </is>
      </c>
      <c r="Q37" s="24" t="inlineStr">
        <is>
          <t>O</t>
        </is>
      </c>
      <c r="R37" s="24" t="inlineStr">
        <is>
          <t>O</t>
        </is>
      </c>
      <c r="S37" s="24" t="inlineStr">
        <is>
          <t>O</t>
        </is>
      </c>
      <c r="T37" s="24" t="inlineStr">
        <is>
          <t>O</t>
        </is>
      </c>
      <c r="U37" s="24" t="inlineStr">
        <is>
          <t>O</t>
        </is>
      </c>
      <c r="V37" s="24" t="inlineStr">
        <is>
          <t>O</t>
        </is>
      </c>
      <c r="W37" s="24" t="inlineStr">
        <is>
          <t>O</t>
        </is>
      </c>
      <c r="X37" s="24" t="inlineStr">
        <is>
          <t>O</t>
        </is>
      </c>
      <c r="Y37" s="24" t="inlineStr">
        <is>
          <t>O</t>
        </is>
      </c>
      <c r="Z37" s="24" t="inlineStr">
        <is>
          <t>O</t>
        </is>
      </c>
      <c r="AA37" s="24" t="inlineStr">
        <is>
          <t>O</t>
        </is>
      </c>
      <c r="AB37" s="24" t="inlineStr">
        <is>
          <t>O</t>
        </is>
      </c>
      <c r="AC37" s="24" t="inlineStr">
        <is>
          <t>O</t>
        </is>
      </c>
      <c r="AD37" s="24" t="inlineStr">
        <is>
          <t>O</t>
        </is>
      </c>
      <c r="AE37" s="24" t="inlineStr">
        <is>
          <t>O</t>
        </is>
      </c>
      <c r="AF37" s="24" t="inlineStr">
        <is>
          <t>O</t>
        </is>
      </c>
      <c r="AG37" s="24" t="inlineStr">
        <is>
          <t>O</t>
        </is>
      </c>
      <c r="AH37" s="24" t="inlineStr">
        <is>
          <t>O</t>
        </is>
      </c>
      <c r="AI37" s="24" t="inlineStr">
        <is>
          <t>O</t>
        </is>
      </c>
      <c r="AJ37" s="24" t="inlineStr">
        <is>
          <t>O</t>
        </is>
      </c>
    </row>
    <row r="38">
      <c r="A38" s="16" t="n"/>
      <c r="B38" s="19" t="n"/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</row>
    <row r="39">
      <c r="A39" s="16" t="n"/>
      <c r="B39" s="18" t="inlineStr">
        <is>
          <t>Exception</t>
        </is>
      </c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</row>
    <row r="41">
      <c r="A41" s="16" t="n"/>
      <c r="B41" s="18" t="inlineStr">
        <is>
          <t>Log message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16" t="n"/>
      <c r="B42" s="19" t="n"/>
      <c r="C42" s="19" t="n"/>
      <c r="D42" s="19" t="n"/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</row>
    <row r="44">
      <c r="A44" s="15" t="inlineStr">
        <is>
          <t>Result</t>
        </is>
      </c>
      <c r="B44" s="17" t="inlineStr">
        <is>
          <t>Type(N : Normal, A : Abnormal, B : Boundary)</t>
        </is>
      </c>
      <c r="C44" s="4" t="n"/>
      <c r="D44" s="4" t="n"/>
      <c r="E44" s="4" t="n"/>
      <c r="F44" s="25" t="inlineStr">
        <is>
          <t>N</t>
        </is>
      </c>
      <c r="G44" s="25" t="inlineStr">
        <is>
          <t>N</t>
        </is>
      </c>
      <c r="H44" s="25" t="inlineStr">
        <is>
          <t>N</t>
        </is>
      </c>
      <c r="I44" s="25" t="inlineStr">
        <is>
          <t>N</t>
        </is>
      </c>
      <c r="J44" s="25" t="inlineStr">
        <is>
          <t>N</t>
        </is>
      </c>
      <c r="K44" s="25" t="inlineStr">
        <is>
          <t>N</t>
        </is>
      </c>
      <c r="L44" s="25" t="inlineStr">
        <is>
          <t>N</t>
        </is>
      </c>
      <c r="M44" s="25" t="inlineStr">
        <is>
          <t>N</t>
        </is>
      </c>
      <c r="N44" s="25" t="inlineStr">
        <is>
          <t>N</t>
        </is>
      </c>
      <c r="O44" s="25" t="inlineStr">
        <is>
          <t>N</t>
        </is>
      </c>
      <c r="P44" s="25" t="inlineStr">
        <is>
          <t>N</t>
        </is>
      </c>
      <c r="Q44" s="25" t="inlineStr">
        <is>
          <t>N</t>
        </is>
      </c>
      <c r="R44" s="25" t="inlineStr">
        <is>
          <t>N</t>
        </is>
      </c>
      <c r="S44" s="25" t="inlineStr">
        <is>
          <t>N</t>
        </is>
      </c>
      <c r="T44" s="25" t="inlineStr">
        <is>
          <t>N</t>
        </is>
      </c>
      <c r="U44" s="25" t="inlineStr">
        <is>
          <t>N</t>
        </is>
      </c>
      <c r="V44" s="25" t="inlineStr">
        <is>
          <t>N</t>
        </is>
      </c>
      <c r="W44" s="25" t="inlineStr">
        <is>
          <t>N</t>
        </is>
      </c>
      <c r="X44" s="25" t="inlineStr">
        <is>
          <t>N</t>
        </is>
      </c>
      <c r="Y44" s="25" t="inlineStr">
        <is>
          <t>N</t>
        </is>
      </c>
      <c r="Z44" s="25" t="inlineStr">
        <is>
          <t>N</t>
        </is>
      </c>
      <c r="AA44" s="25" t="inlineStr">
        <is>
          <t>N</t>
        </is>
      </c>
      <c r="AB44" s="25" t="inlineStr">
        <is>
          <t>N</t>
        </is>
      </c>
      <c r="AC44" s="25" t="inlineStr">
        <is>
          <t>N</t>
        </is>
      </c>
      <c r="AD44" s="25" t="inlineStr">
        <is>
          <t>N</t>
        </is>
      </c>
      <c r="AE44" s="25" t="inlineStr">
        <is>
          <t>N</t>
        </is>
      </c>
      <c r="AF44" s="25" t="inlineStr">
        <is>
          <t>N</t>
        </is>
      </c>
      <c r="AG44" s="25" t="inlineStr">
        <is>
          <t>N</t>
        </is>
      </c>
      <c r="AH44" s="25" t="inlineStr">
        <is>
          <t>N</t>
        </is>
      </c>
      <c r="AI44" s="25" t="inlineStr">
        <is>
          <t>N</t>
        </is>
      </c>
      <c r="AJ44" s="25" t="inlineStr">
        <is>
          <t>N</t>
        </is>
      </c>
    </row>
    <row r="45">
      <c r="A45" s="16" t="n"/>
      <c r="B45" s="17" t="inlineStr">
        <is>
          <t>Passed/Failed</t>
        </is>
      </c>
      <c r="C45" s="4" t="n"/>
      <c r="D45" s="4" t="n"/>
      <c r="E45" s="4" t="n"/>
      <c r="F45" s="25" t="inlineStr">
        <is>
          <t>P</t>
        </is>
      </c>
      <c r="G45" s="25" t="inlineStr">
        <is>
          <t>P</t>
        </is>
      </c>
      <c r="H45" s="25" t="inlineStr">
        <is>
          <t>P</t>
        </is>
      </c>
      <c r="I45" s="25" t="inlineStr">
        <is>
          <t>P</t>
        </is>
      </c>
      <c r="J45" s="25" t="inlineStr">
        <is>
          <t>P</t>
        </is>
      </c>
      <c r="K45" s="25" t="inlineStr">
        <is>
          <t>P</t>
        </is>
      </c>
      <c r="L45" s="25" t="inlineStr">
        <is>
          <t>P</t>
        </is>
      </c>
      <c r="M45" s="25" t="inlineStr">
        <is>
          <t>P</t>
        </is>
      </c>
      <c r="N45" s="25" t="inlineStr">
        <is>
          <t>P</t>
        </is>
      </c>
      <c r="O45" s="25" t="inlineStr">
        <is>
          <t>P</t>
        </is>
      </c>
      <c r="P45" s="25" t="inlineStr">
        <is>
          <t>P</t>
        </is>
      </c>
      <c r="Q45" s="25" t="inlineStr">
        <is>
          <t>P</t>
        </is>
      </c>
      <c r="R45" s="25" t="inlineStr">
        <is>
          <t>P</t>
        </is>
      </c>
      <c r="S45" s="25" t="inlineStr">
        <is>
          <t>P</t>
        </is>
      </c>
      <c r="T45" s="25" t="inlineStr">
        <is>
          <t>P</t>
        </is>
      </c>
      <c r="U45" s="25" t="inlineStr">
        <is>
          <t>P</t>
        </is>
      </c>
      <c r="V45" s="25" t="inlineStr">
        <is>
          <t>P</t>
        </is>
      </c>
      <c r="W45" s="25" t="inlineStr">
        <is>
          <t>P</t>
        </is>
      </c>
      <c r="X45" s="25" t="inlineStr">
        <is>
          <t>P</t>
        </is>
      </c>
      <c r="Y45" s="25" t="inlineStr">
        <is>
          <t>P</t>
        </is>
      </c>
      <c r="Z45" s="25" t="inlineStr">
        <is>
          <t>P</t>
        </is>
      </c>
      <c r="AA45" s="25" t="inlineStr">
        <is>
          <t>P</t>
        </is>
      </c>
      <c r="AB45" s="25" t="inlineStr">
        <is>
          <t>P</t>
        </is>
      </c>
      <c r="AC45" s="25" t="inlineStr">
        <is>
          <t>P</t>
        </is>
      </c>
      <c r="AD45" s="25" t="inlineStr">
        <is>
          <t>P</t>
        </is>
      </c>
      <c r="AE45" s="25" t="inlineStr">
        <is>
          <t>P</t>
        </is>
      </c>
      <c r="AF45" s="25" t="inlineStr">
        <is>
          <t>P</t>
        </is>
      </c>
      <c r="AG45" s="25" t="inlineStr">
        <is>
          <t>P</t>
        </is>
      </c>
      <c r="AH45" s="25" t="inlineStr">
        <is>
          <t>P</t>
        </is>
      </c>
      <c r="AI45" s="25" t="inlineStr">
        <is>
          <t>P</t>
        </is>
      </c>
      <c r="AJ45" s="25" t="inlineStr">
        <is>
          <t>P</t>
        </is>
      </c>
    </row>
    <row r="46">
      <c r="A46" s="16" t="n"/>
      <c r="B46" s="17" t="inlineStr">
        <is>
          <t>Executed Date</t>
        </is>
      </c>
      <c r="C46" s="4" t="n"/>
      <c r="D46" s="4" t="n"/>
      <c r="E46" s="4" t="n"/>
      <c r="F46" s="26" t="n">
        <v>46215</v>
      </c>
      <c r="G46" s="26" t="n">
        <v>46215</v>
      </c>
      <c r="H46" s="26" t="n">
        <v>46215</v>
      </c>
      <c r="I46" s="26" t="n">
        <v>46215</v>
      </c>
      <c r="J46" s="26" t="n">
        <v>46215</v>
      </c>
      <c r="K46" s="26" t="n">
        <v>46215</v>
      </c>
      <c r="L46" s="26" t="n">
        <v>46215</v>
      </c>
      <c r="M46" s="26" t="n">
        <v>46215</v>
      </c>
      <c r="N46" s="26" t="n">
        <v>46215</v>
      </c>
      <c r="O46" s="26" t="n">
        <v>46215</v>
      </c>
      <c r="P46" s="26" t="n">
        <v>46215</v>
      </c>
      <c r="Q46" s="26" t="n">
        <v>46215</v>
      </c>
      <c r="R46" s="26" t="n">
        <v>46215</v>
      </c>
      <c r="S46" s="26" t="n">
        <v>46215</v>
      </c>
      <c r="T46" s="26" t="n">
        <v>46215</v>
      </c>
      <c r="U46" s="26" t="n">
        <v>46215</v>
      </c>
      <c r="V46" s="26" t="n">
        <v>46215</v>
      </c>
      <c r="W46" s="26" t="n">
        <v>46215</v>
      </c>
      <c r="X46" s="26" t="n">
        <v>46215</v>
      </c>
      <c r="Y46" s="26" t="n">
        <v>46215</v>
      </c>
      <c r="Z46" s="26" t="n">
        <v>46215</v>
      </c>
      <c r="AA46" s="26" t="n">
        <v>46215</v>
      </c>
      <c r="AB46" s="26" t="n">
        <v>46215</v>
      </c>
      <c r="AC46" s="26" t="n">
        <v>46215</v>
      </c>
      <c r="AD46" s="26" t="n">
        <v>46215</v>
      </c>
      <c r="AE46" s="26" t="n">
        <v>46215</v>
      </c>
      <c r="AF46" s="26" t="n">
        <v>46215</v>
      </c>
      <c r="AG46" s="26" t="n">
        <v>46215</v>
      </c>
      <c r="AH46" s="26" t="n">
        <v>46215</v>
      </c>
      <c r="AI46" s="26" t="n">
        <v>46215</v>
      </c>
      <c r="AJ46" s="26" t="n">
        <v>46215</v>
      </c>
    </row>
    <row r="47">
      <c r="A47" s="16" t="n"/>
      <c r="B47" s="17" t="inlineStr">
        <is>
          <t>Defect ID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</row>
  </sheetData>
  <mergeCells count="27">
    <mergeCell ref="F2:K2"/>
    <mergeCell ref="A6:B6"/>
    <mergeCell ref="C4:D4"/>
    <mergeCell ref="C2:E2"/>
    <mergeCell ref="B45:E45"/>
    <mergeCell ref="A7:B7"/>
    <mergeCell ref="B47:E47"/>
    <mergeCell ref="O7:AJ7"/>
    <mergeCell ref="C7:E7"/>
    <mergeCell ref="L6:N6"/>
    <mergeCell ref="A3:B3"/>
    <mergeCell ref="B46:E46"/>
    <mergeCell ref="L2:AJ2"/>
    <mergeCell ref="O6:AJ6"/>
    <mergeCell ref="A2:B2"/>
    <mergeCell ref="A5:B5"/>
    <mergeCell ref="C3:E3"/>
    <mergeCell ref="C5:AJ5"/>
    <mergeCell ref="F4:K4"/>
    <mergeCell ref="C6:E6"/>
    <mergeCell ref="A4:B4"/>
    <mergeCell ref="F6:K6"/>
    <mergeCell ref="B44:E44"/>
    <mergeCell ref="F7:K7"/>
    <mergeCell ref="L3:N3"/>
    <mergeCell ref="F3:K3"/>
    <mergeCell ref="L4:AJ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BD5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</cols>
  <sheetData>
    <row r="2">
      <c r="A2" s="15" t="inlineStr">
        <is>
          <t>Function Code</t>
        </is>
      </c>
      <c r="B2" s="16" t="n"/>
      <c r="C2" s="17" t="inlineStr">
        <is>
          <t>AiChatbotServiceUnitTest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AiChatbotService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</row>
    <row r="4">
      <c r="A4" s="15" t="inlineStr">
        <is>
          <t>Lines  of code</t>
        </is>
      </c>
      <c r="B4" s="16" t="n"/>
      <c r="C4" s="17" t="n">
        <v>473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</row>
    <row r="5">
      <c r="A5" s="15" t="inlineStr">
        <is>
          <t>Test requirement</t>
        </is>
      </c>
      <c r="B5" s="16" t="n"/>
      <c r="C5" s="17" t="inlineStr">
        <is>
          <t>Unit test for AiChatbotService (f14)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</row>
    <row r="7">
      <c r="A7" s="20">
        <f>COUNTIF(F48:BD48,"P")</f>
        <v/>
      </c>
      <c r="B7" s="4" t="n"/>
      <c r="C7" s="20">
        <f>COUNTIF(F48:BD48,"F")</f>
        <v/>
      </c>
      <c r="D7" s="4" t="n"/>
      <c r="E7" s="4" t="n"/>
      <c r="F7" s="20">
        <f>51-A7-C7</f>
        <v/>
      </c>
      <c r="G7" s="4" t="n"/>
      <c r="H7" s="4" t="n"/>
      <c r="I7" s="4" t="n"/>
      <c r="J7" s="4" t="n"/>
      <c r="K7" s="4" t="n"/>
      <c r="L7" s="17">
        <f>COUNTIF(F47:BD47,"N")</f>
        <v/>
      </c>
      <c r="M7" s="17">
        <f>COUNTIF(F47:BD47,"A")</f>
        <v/>
      </c>
      <c r="N7" s="17">
        <f>COUNTIF(F47:BD47,"B")</f>
        <v/>
      </c>
      <c r="O7" s="20" t="n">
        <v>51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  <c r="BD8" s="21" t="inlineStr">
        <is>
          <t>TC051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  <c r="BD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  <c r="BD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>
      <c r="A17" s="16" t="n"/>
      <c r="B17" s="18" t="inlineStr">
        <is>
          <t>methodToTest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  <c r="BD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>
      <c r="A20" s="16" t="n"/>
      <c r="B20" s="18" t="inlineStr">
        <is>
          <t>inputMessage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  <c r="BD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>
      <c r="A23" s="16" t="n"/>
      <c r="B23" s="18" t="inlineStr">
        <is>
          <t>rawContext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  <c r="AY24" s="24" t="inlineStr">
        <is>
          <t>O</t>
        </is>
      </c>
      <c r="AZ24" s="24" t="inlineStr">
        <is>
          <t>O</t>
        </is>
      </c>
      <c r="BA24" s="24" t="inlineStr">
        <is>
          <t>O</t>
        </is>
      </c>
      <c r="BB24" s="24" t="inlineStr">
        <is>
          <t>O</t>
        </is>
      </c>
      <c r="BC24" s="24" t="inlineStr">
        <is>
          <t>O</t>
        </is>
      </c>
      <c r="BD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>
      <c r="A26" s="16" t="n"/>
      <c r="B26" s="18" t="inlineStr">
        <is>
          <t>Map&lt;String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  <c r="AK27" s="24" t="inlineStr">
        <is>
          <t>O</t>
        </is>
      </c>
      <c r="AL27" s="24" t="inlineStr">
        <is>
          <t>O</t>
        </is>
      </c>
      <c r="AM27" s="24" t="inlineStr">
        <is>
          <t>O</t>
        </is>
      </c>
      <c r="AN27" s="24" t="inlineStr">
        <is>
          <t>O</t>
        </is>
      </c>
      <c r="AO27" s="24" t="inlineStr">
        <is>
          <t>O</t>
        </is>
      </c>
      <c r="AP27" s="24" t="inlineStr">
        <is>
          <t>O</t>
        </is>
      </c>
      <c r="AQ27" s="24" t="inlineStr">
        <is>
          <t>O</t>
        </is>
      </c>
      <c r="AR27" s="24" t="inlineStr">
        <is>
          <t>O</t>
        </is>
      </c>
      <c r="AS27" s="24" t="inlineStr">
        <is>
          <t>O</t>
        </is>
      </c>
      <c r="AT27" s="24" t="inlineStr">
        <is>
          <t>O</t>
        </is>
      </c>
      <c r="AU27" s="24" t="inlineStr">
        <is>
          <t>O</t>
        </is>
      </c>
      <c r="AV27" s="24" t="inlineStr">
        <is>
          <t>O</t>
        </is>
      </c>
      <c r="AW27" s="24" t="inlineStr">
        <is>
          <t>O</t>
        </is>
      </c>
      <c r="AX27" s="24" t="inlineStr">
        <is>
          <t>O</t>
        </is>
      </c>
      <c r="AY27" s="24" t="inlineStr">
        <is>
          <t>O</t>
        </is>
      </c>
      <c r="AZ27" s="24" t="inlineStr">
        <is>
          <t>O</t>
        </is>
      </c>
      <c r="BA27" s="24" t="inlineStr">
        <is>
          <t>O</t>
        </is>
      </c>
      <c r="BB27" s="24" t="inlineStr">
        <is>
          <t>O</t>
        </is>
      </c>
      <c r="BC27" s="24" t="inlineStr">
        <is>
          <t>O</t>
        </is>
      </c>
      <c r="BD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>
      <c r="A29" s="16" t="n"/>
      <c r="B29" s="18" t="inlineStr">
        <is>
          <t>List&lt;Map&lt;String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  <c r="AK30" s="24" t="inlineStr">
        <is>
          <t>O</t>
        </is>
      </c>
      <c r="AL30" s="24" t="inlineStr">
        <is>
          <t>O</t>
        </is>
      </c>
      <c r="AM30" s="24" t="inlineStr">
        <is>
          <t>O</t>
        </is>
      </c>
      <c r="AN30" s="24" t="inlineStr">
        <is>
          <t>O</t>
        </is>
      </c>
      <c r="AO30" s="24" t="inlineStr">
        <is>
          <t>O</t>
        </is>
      </c>
      <c r="AP30" s="24" t="inlineStr">
        <is>
          <t>O</t>
        </is>
      </c>
      <c r="AQ30" s="24" t="inlineStr">
        <is>
          <t>O</t>
        </is>
      </c>
      <c r="AR30" s="24" t="inlineStr">
        <is>
          <t>O</t>
        </is>
      </c>
      <c r="AS30" s="24" t="inlineStr">
        <is>
          <t>O</t>
        </is>
      </c>
      <c r="AT30" s="24" t="inlineStr">
        <is>
          <t>O</t>
        </is>
      </c>
      <c r="AU30" s="24" t="inlineStr">
        <is>
          <t>O</t>
        </is>
      </c>
      <c r="AV30" s="24" t="inlineStr">
        <is>
          <t>O</t>
        </is>
      </c>
      <c r="AW30" s="24" t="inlineStr">
        <is>
          <t>O</t>
        </is>
      </c>
      <c r="AX30" s="24" t="inlineStr">
        <is>
          <t>O</t>
        </is>
      </c>
      <c r="AY30" s="24" t="inlineStr">
        <is>
          <t>O</t>
        </is>
      </c>
      <c r="AZ30" s="24" t="inlineStr">
        <is>
          <t>O</t>
        </is>
      </c>
      <c r="BA30" s="24" t="inlineStr">
        <is>
          <t>O</t>
        </is>
      </c>
      <c r="BB30" s="24" t="inlineStr">
        <is>
          <t>O</t>
        </is>
      </c>
      <c r="BC30" s="24" t="inlineStr">
        <is>
          <t>O</t>
        </is>
      </c>
      <c r="BD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>
      <c r="A32" s="16" t="n"/>
      <c r="B32" s="18" t="inlineStr">
        <is>
          <t>dbData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  <c r="AF33" s="24" t="inlineStr">
        <is>
          <t>O</t>
        </is>
      </c>
      <c r="AG33" s="24" t="inlineStr">
        <is>
          <t>O</t>
        </is>
      </c>
      <c r="AH33" s="24" t="inlineStr">
        <is>
          <t>O</t>
        </is>
      </c>
      <c r="AI33" s="24" t="inlineStr">
        <is>
          <t>O</t>
        </is>
      </c>
      <c r="AJ33" s="24" t="inlineStr">
        <is>
          <t>O</t>
        </is>
      </c>
      <c r="AK33" s="24" t="inlineStr">
        <is>
          <t>O</t>
        </is>
      </c>
      <c r="AL33" s="24" t="inlineStr">
        <is>
          <t>O</t>
        </is>
      </c>
      <c r="AM33" s="24" t="inlineStr">
        <is>
          <t>O</t>
        </is>
      </c>
      <c r="AN33" s="24" t="inlineStr">
        <is>
          <t>O</t>
        </is>
      </c>
      <c r="AO33" s="24" t="inlineStr">
        <is>
          <t>O</t>
        </is>
      </c>
      <c r="AP33" s="24" t="inlineStr">
        <is>
          <t>O</t>
        </is>
      </c>
      <c r="AQ33" s="24" t="inlineStr">
        <is>
          <t>O</t>
        </is>
      </c>
      <c r="AR33" s="24" t="inlineStr">
        <is>
          <t>O</t>
        </is>
      </c>
      <c r="AS33" s="24" t="inlineStr">
        <is>
          <t>O</t>
        </is>
      </c>
      <c r="AT33" s="24" t="inlineStr">
        <is>
          <t>O</t>
        </is>
      </c>
      <c r="AU33" s="24" t="inlineStr">
        <is>
          <t>O</t>
        </is>
      </c>
      <c r="AV33" s="24" t="inlineStr">
        <is>
          <t>O</t>
        </is>
      </c>
      <c r="AW33" s="24" t="inlineStr">
        <is>
          <t>O</t>
        </is>
      </c>
      <c r="AX33" s="24" t="inlineStr">
        <is>
          <t>O</t>
        </is>
      </c>
      <c r="AY33" s="24" t="inlineStr">
        <is>
          <t>O</t>
        </is>
      </c>
      <c r="AZ33" s="24" t="inlineStr">
        <is>
          <t>O</t>
        </is>
      </c>
      <c r="BA33" s="24" t="inlineStr">
        <is>
          <t>O</t>
        </is>
      </c>
      <c r="BB33" s="24" t="inlineStr">
        <is>
          <t>O</t>
        </is>
      </c>
      <c r="BC33" s="24" t="inlineStr">
        <is>
          <t>O</t>
        </is>
      </c>
      <c r="BD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>
      <c r="A35" s="16" t="n"/>
      <c r="B35" s="18" t="inlineStr">
        <is>
          <t>expectedResult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  <c r="AA36" s="24" t="inlineStr">
        <is>
          <t>O</t>
        </is>
      </c>
      <c r="AB36" s="24" t="inlineStr">
        <is>
          <t>O</t>
        </is>
      </c>
      <c r="AC36" s="24" t="inlineStr">
        <is>
          <t>O</t>
        </is>
      </c>
      <c r="AD36" s="24" t="inlineStr">
        <is>
          <t>O</t>
        </is>
      </c>
      <c r="AE36" s="24" t="inlineStr">
        <is>
          <t>O</t>
        </is>
      </c>
      <c r="AF36" s="24" t="inlineStr">
        <is>
          <t>O</t>
        </is>
      </c>
      <c r="AG36" s="24" t="inlineStr">
        <is>
          <t>O</t>
        </is>
      </c>
      <c r="AH36" s="24" t="inlineStr">
        <is>
          <t>O</t>
        </is>
      </c>
      <c r="AI36" s="24" t="inlineStr">
        <is>
          <t>O</t>
        </is>
      </c>
      <c r="AJ36" s="24" t="inlineStr">
        <is>
          <t>O</t>
        </is>
      </c>
      <c r="AK36" s="24" t="inlineStr">
        <is>
          <t>O</t>
        </is>
      </c>
      <c r="AL36" s="24" t="inlineStr">
        <is>
          <t>O</t>
        </is>
      </c>
      <c r="AM36" s="24" t="inlineStr">
        <is>
          <t>O</t>
        </is>
      </c>
      <c r="AN36" s="24" t="inlineStr">
        <is>
          <t>O</t>
        </is>
      </c>
      <c r="AO36" s="24" t="inlineStr">
        <is>
          <t>O</t>
        </is>
      </c>
      <c r="AP36" s="24" t="inlineStr">
        <is>
          <t>O</t>
        </is>
      </c>
      <c r="AQ36" s="24" t="inlineStr">
        <is>
          <t>O</t>
        </is>
      </c>
      <c r="AR36" s="24" t="inlineStr">
        <is>
          <t>O</t>
        </is>
      </c>
      <c r="AS36" s="24" t="inlineStr">
        <is>
          <t>O</t>
        </is>
      </c>
      <c r="AT36" s="24" t="inlineStr">
        <is>
          <t>O</t>
        </is>
      </c>
      <c r="AU36" s="24" t="inlineStr">
        <is>
          <t>O</t>
        </is>
      </c>
      <c r="AV36" s="24" t="inlineStr">
        <is>
          <t>O</t>
        </is>
      </c>
      <c r="AW36" s="24" t="inlineStr">
        <is>
          <t>O</t>
        </is>
      </c>
      <c r="AX36" s="24" t="inlineStr">
        <is>
          <t>O</t>
        </is>
      </c>
      <c r="AY36" s="24" t="inlineStr">
        <is>
          <t>O</t>
        </is>
      </c>
      <c r="AZ36" s="24" t="inlineStr">
        <is>
          <t>O</t>
        </is>
      </c>
      <c r="BA36" s="24" t="inlineStr">
        <is>
          <t>O</t>
        </is>
      </c>
      <c r="BB36" s="24" t="inlineStr">
        <is>
          <t>O</t>
        </is>
      </c>
      <c r="BC36" s="24" t="inlineStr">
        <is>
          <t>O</t>
        </is>
      </c>
      <c r="BD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9">
      <c r="A39" s="15" t="inlineStr">
        <is>
          <t>Confirm</t>
        </is>
      </c>
      <c r="B39" s="18" t="inlineStr">
        <is>
          <t>Return</t>
        </is>
      </c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>
      <c r="A40" s="16" t="n"/>
      <c r="B40" s="19" t="n"/>
      <c r="C40" s="19" t="n"/>
      <c r="D40" s="23" t="inlineStr">
        <is>
          <t>Assertion verified</t>
        </is>
      </c>
      <c r="E40" s="22" t="n"/>
      <c r="F40" s="24" t="inlineStr">
        <is>
          <t>O</t>
        </is>
      </c>
      <c r="G40" s="24" t="inlineStr">
        <is>
          <t>O</t>
        </is>
      </c>
      <c r="H40" s="24" t="inlineStr">
        <is>
          <t>O</t>
        </is>
      </c>
      <c r="I40" s="24" t="inlineStr">
        <is>
          <t>O</t>
        </is>
      </c>
      <c r="J40" s="24" t="inlineStr">
        <is>
          <t>O</t>
        </is>
      </c>
      <c r="K40" s="24" t="inlineStr">
        <is>
          <t>O</t>
        </is>
      </c>
      <c r="L40" s="24" t="inlineStr">
        <is>
          <t>O</t>
        </is>
      </c>
      <c r="M40" s="24" t="inlineStr">
        <is>
          <t>O</t>
        </is>
      </c>
      <c r="N40" s="24" t="inlineStr">
        <is>
          <t>O</t>
        </is>
      </c>
      <c r="O40" s="24" t="inlineStr">
        <is>
          <t>O</t>
        </is>
      </c>
      <c r="P40" s="24" t="inlineStr">
        <is>
          <t>O</t>
        </is>
      </c>
      <c r="Q40" s="24" t="inlineStr">
        <is>
          <t>O</t>
        </is>
      </c>
      <c r="R40" s="24" t="inlineStr">
        <is>
          <t>O</t>
        </is>
      </c>
      <c r="S40" s="24" t="inlineStr">
        <is>
          <t>O</t>
        </is>
      </c>
      <c r="T40" s="24" t="inlineStr">
        <is>
          <t>O</t>
        </is>
      </c>
      <c r="U40" s="24" t="inlineStr">
        <is>
          <t>O</t>
        </is>
      </c>
      <c r="V40" s="24" t="inlineStr">
        <is>
          <t>O</t>
        </is>
      </c>
      <c r="W40" s="24" t="inlineStr">
        <is>
          <t>O</t>
        </is>
      </c>
      <c r="X40" s="24" t="inlineStr">
        <is>
          <t>O</t>
        </is>
      </c>
      <c r="Y40" s="24" t="inlineStr">
        <is>
          <t>O</t>
        </is>
      </c>
      <c r="Z40" s="24" t="inlineStr">
        <is>
          <t>O</t>
        </is>
      </c>
      <c r="AA40" s="24" t="inlineStr">
        <is>
          <t>O</t>
        </is>
      </c>
      <c r="AB40" s="24" t="inlineStr">
        <is>
          <t>O</t>
        </is>
      </c>
      <c r="AC40" s="24" t="inlineStr">
        <is>
          <t>O</t>
        </is>
      </c>
      <c r="AD40" s="24" t="inlineStr">
        <is>
          <t>O</t>
        </is>
      </c>
      <c r="AE40" s="24" t="inlineStr">
        <is>
          <t>O</t>
        </is>
      </c>
      <c r="AF40" s="24" t="inlineStr">
        <is>
          <t>O</t>
        </is>
      </c>
      <c r="AG40" s="24" t="inlineStr">
        <is>
          <t>O</t>
        </is>
      </c>
      <c r="AH40" s="24" t="inlineStr">
        <is>
          <t>O</t>
        </is>
      </c>
      <c r="AI40" s="24" t="inlineStr">
        <is>
          <t>O</t>
        </is>
      </c>
      <c r="AJ40" s="24" t="inlineStr">
        <is>
          <t>O</t>
        </is>
      </c>
      <c r="AK40" s="24" t="inlineStr">
        <is>
          <t>O</t>
        </is>
      </c>
      <c r="AL40" s="24" t="inlineStr">
        <is>
          <t>O</t>
        </is>
      </c>
      <c r="AM40" s="24" t="inlineStr">
        <is>
          <t>O</t>
        </is>
      </c>
      <c r="AN40" s="24" t="inlineStr">
        <is>
          <t>O</t>
        </is>
      </c>
      <c r="AO40" s="24" t="inlineStr">
        <is>
          <t>O</t>
        </is>
      </c>
      <c r="AP40" s="24" t="inlineStr">
        <is>
          <t>O</t>
        </is>
      </c>
      <c r="AQ40" s="24" t="inlineStr">
        <is>
          <t>O</t>
        </is>
      </c>
      <c r="AR40" s="24" t="inlineStr">
        <is>
          <t>O</t>
        </is>
      </c>
      <c r="AS40" s="24" t="inlineStr">
        <is>
          <t>O</t>
        </is>
      </c>
      <c r="AT40" s="24" t="inlineStr">
        <is>
          <t>O</t>
        </is>
      </c>
      <c r="AU40" s="24" t="inlineStr">
        <is>
          <t>O</t>
        </is>
      </c>
      <c r="AV40" s="24" t="inlineStr">
        <is>
          <t>O</t>
        </is>
      </c>
      <c r="AW40" s="24" t="inlineStr">
        <is>
          <t>O</t>
        </is>
      </c>
      <c r="AX40" s="24" t="inlineStr">
        <is>
          <t>O</t>
        </is>
      </c>
      <c r="AY40" s="24" t="inlineStr">
        <is>
          <t>O</t>
        </is>
      </c>
      <c r="AZ40" s="24" t="inlineStr">
        <is>
          <t>O</t>
        </is>
      </c>
      <c r="BA40" s="24" t="inlineStr">
        <is>
          <t>O</t>
        </is>
      </c>
      <c r="BB40" s="24" t="inlineStr">
        <is>
          <t>O</t>
        </is>
      </c>
      <c r="BC40" s="24" t="inlineStr">
        <is>
          <t>O</t>
        </is>
      </c>
      <c r="BD40" s="24" t="inlineStr">
        <is>
          <t>O</t>
        </is>
      </c>
    </row>
    <row r="41">
      <c r="A41" s="16" t="n"/>
      <c r="B41" s="19" t="n"/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</row>
    <row r="42">
      <c r="A42" s="16" t="n"/>
      <c r="B42" s="18" t="inlineStr">
        <is>
          <t>Exception</t>
        </is>
      </c>
      <c r="C42" s="19" t="n"/>
      <c r="D42" s="19" t="n"/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</row>
    <row r="44">
      <c r="A44" s="16" t="n"/>
      <c r="B44" s="18" t="inlineStr">
        <is>
          <t>Log message</t>
        </is>
      </c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</row>
    <row r="45">
      <c r="A45" s="16" t="n"/>
      <c r="B45" s="19" t="n"/>
      <c r="C45" s="19" t="n"/>
      <c r="D45" s="19" t="n"/>
      <c r="E45" s="2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</row>
    <row r="47">
      <c r="A47" s="15" t="inlineStr">
        <is>
          <t>Result</t>
        </is>
      </c>
      <c r="B47" s="17" t="inlineStr">
        <is>
          <t>Type(N : Normal, A : Abnormal, B : Boundary)</t>
        </is>
      </c>
      <c r="C47" s="4" t="n"/>
      <c r="D47" s="4" t="n"/>
      <c r="E47" s="4" t="n"/>
      <c r="F47" s="25" t="inlineStr">
        <is>
          <t>N</t>
        </is>
      </c>
      <c r="G47" s="25" t="inlineStr">
        <is>
          <t>N</t>
        </is>
      </c>
      <c r="H47" s="25" t="inlineStr">
        <is>
          <t>N</t>
        </is>
      </c>
      <c r="I47" s="25" t="inlineStr">
        <is>
          <t>N</t>
        </is>
      </c>
      <c r="J47" s="25" t="inlineStr">
        <is>
          <t>N</t>
        </is>
      </c>
      <c r="K47" s="25" t="inlineStr">
        <is>
          <t>N</t>
        </is>
      </c>
      <c r="L47" s="25" t="inlineStr">
        <is>
          <t>N</t>
        </is>
      </c>
      <c r="M47" s="25" t="inlineStr">
        <is>
          <t>N</t>
        </is>
      </c>
      <c r="N47" s="25" t="inlineStr">
        <is>
          <t>N</t>
        </is>
      </c>
      <c r="O47" s="25" t="inlineStr">
        <is>
          <t>N</t>
        </is>
      </c>
      <c r="P47" s="25" t="inlineStr">
        <is>
          <t>N</t>
        </is>
      </c>
      <c r="Q47" s="25" t="inlineStr">
        <is>
          <t>N</t>
        </is>
      </c>
      <c r="R47" s="25" t="inlineStr">
        <is>
          <t>N</t>
        </is>
      </c>
      <c r="S47" s="25" t="inlineStr">
        <is>
          <t>N</t>
        </is>
      </c>
      <c r="T47" s="25" t="inlineStr">
        <is>
          <t>N</t>
        </is>
      </c>
      <c r="U47" s="25" t="inlineStr">
        <is>
          <t>N</t>
        </is>
      </c>
      <c r="V47" s="25" t="inlineStr">
        <is>
          <t>N</t>
        </is>
      </c>
      <c r="W47" s="25" t="inlineStr">
        <is>
          <t>N</t>
        </is>
      </c>
      <c r="X47" s="25" t="inlineStr">
        <is>
          <t>N</t>
        </is>
      </c>
      <c r="Y47" s="25" t="inlineStr">
        <is>
          <t>N</t>
        </is>
      </c>
      <c r="Z47" s="25" t="inlineStr">
        <is>
          <t>N</t>
        </is>
      </c>
      <c r="AA47" s="25" t="inlineStr">
        <is>
          <t>N</t>
        </is>
      </c>
      <c r="AB47" s="25" t="inlineStr">
        <is>
          <t>N</t>
        </is>
      </c>
      <c r="AC47" s="25" t="inlineStr">
        <is>
          <t>N</t>
        </is>
      </c>
      <c r="AD47" s="25" t="inlineStr">
        <is>
          <t>N</t>
        </is>
      </c>
      <c r="AE47" s="25" t="inlineStr">
        <is>
          <t>N</t>
        </is>
      </c>
      <c r="AF47" s="25" t="inlineStr">
        <is>
          <t>N</t>
        </is>
      </c>
      <c r="AG47" s="25" t="inlineStr">
        <is>
          <t>N</t>
        </is>
      </c>
      <c r="AH47" s="25" t="inlineStr">
        <is>
          <t>N</t>
        </is>
      </c>
      <c r="AI47" s="25" t="inlineStr">
        <is>
          <t>N</t>
        </is>
      </c>
      <c r="AJ47" s="25" t="inlineStr">
        <is>
          <t>N</t>
        </is>
      </c>
      <c r="AK47" s="25" t="inlineStr">
        <is>
          <t>N</t>
        </is>
      </c>
      <c r="AL47" s="25" t="inlineStr">
        <is>
          <t>N</t>
        </is>
      </c>
      <c r="AM47" s="25" t="inlineStr">
        <is>
          <t>N</t>
        </is>
      </c>
      <c r="AN47" s="25" t="inlineStr">
        <is>
          <t>N</t>
        </is>
      </c>
      <c r="AO47" s="25" t="inlineStr">
        <is>
          <t>N</t>
        </is>
      </c>
      <c r="AP47" s="25" t="inlineStr">
        <is>
          <t>N</t>
        </is>
      </c>
      <c r="AQ47" s="25" t="inlineStr">
        <is>
          <t>N</t>
        </is>
      </c>
      <c r="AR47" s="25" t="inlineStr">
        <is>
          <t>N</t>
        </is>
      </c>
      <c r="AS47" s="25" t="inlineStr">
        <is>
          <t>N</t>
        </is>
      </c>
      <c r="AT47" s="25" t="inlineStr">
        <is>
          <t>N</t>
        </is>
      </c>
      <c r="AU47" s="25" t="inlineStr">
        <is>
          <t>N</t>
        </is>
      </c>
      <c r="AV47" s="25" t="inlineStr">
        <is>
          <t>N</t>
        </is>
      </c>
      <c r="AW47" s="25" t="inlineStr">
        <is>
          <t>N</t>
        </is>
      </c>
      <c r="AX47" s="25" t="inlineStr">
        <is>
          <t>N</t>
        </is>
      </c>
      <c r="AY47" s="25" t="inlineStr">
        <is>
          <t>N</t>
        </is>
      </c>
      <c r="AZ47" s="25" t="inlineStr">
        <is>
          <t>N</t>
        </is>
      </c>
      <c r="BA47" s="25" t="inlineStr">
        <is>
          <t>N</t>
        </is>
      </c>
      <c r="BB47" s="25" t="inlineStr">
        <is>
          <t>N</t>
        </is>
      </c>
      <c r="BC47" s="25" t="inlineStr">
        <is>
          <t>N</t>
        </is>
      </c>
      <c r="BD47" s="25" t="inlineStr">
        <is>
          <t>N</t>
        </is>
      </c>
    </row>
    <row r="48">
      <c r="A48" s="16" t="n"/>
      <c r="B48" s="17" t="inlineStr">
        <is>
          <t>Passed/Failed</t>
        </is>
      </c>
      <c r="C48" s="4" t="n"/>
      <c r="D48" s="4" t="n"/>
      <c r="E48" s="4" t="n"/>
      <c r="F48" s="25" t="inlineStr">
        <is>
          <t>P</t>
        </is>
      </c>
      <c r="G48" s="25" t="inlineStr">
        <is>
          <t>P</t>
        </is>
      </c>
      <c r="H48" s="25" t="inlineStr">
        <is>
          <t>P</t>
        </is>
      </c>
      <c r="I48" s="25" t="inlineStr">
        <is>
          <t>P</t>
        </is>
      </c>
      <c r="J48" s="25" t="inlineStr">
        <is>
          <t>P</t>
        </is>
      </c>
      <c r="K48" s="25" t="inlineStr">
        <is>
          <t>P</t>
        </is>
      </c>
      <c r="L48" s="25" t="inlineStr">
        <is>
          <t>P</t>
        </is>
      </c>
      <c r="M48" s="25" t="inlineStr">
        <is>
          <t>P</t>
        </is>
      </c>
      <c r="N48" s="25" t="inlineStr">
        <is>
          <t>P</t>
        </is>
      </c>
      <c r="O48" s="25" t="inlineStr">
        <is>
          <t>P</t>
        </is>
      </c>
      <c r="P48" s="25" t="inlineStr">
        <is>
          <t>P</t>
        </is>
      </c>
      <c r="Q48" s="25" t="inlineStr">
        <is>
          <t>P</t>
        </is>
      </c>
      <c r="R48" s="25" t="inlineStr">
        <is>
          <t>P</t>
        </is>
      </c>
      <c r="S48" s="25" t="inlineStr">
        <is>
          <t>P</t>
        </is>
      </c>
      <c r="T48" s="25" t="inlineStr">
        <is>
          <t>P</t>
        </is>
      </c>
      <c r="U48" s="25" t="inlineStr">
        <is>
          <t>P</t>
        </is>
      </c>
      <c r="V48" s="25" t="inlineStr">
        <is>
          <t>P</t>
        </is>
      </c>
      <c r="W48" s="25" t="inlineStr">
        <is>
          <t>P</t>
        </is>
      </c>
      <c r="X48" s="25" t="inlineStr">
        <is>
          <t>P</t>
        </is>
      </c>
      <c r="Y48" s="25" t="inlineStr">
        <is>
          <t>P</t>
        </is>
      </c>
      <c r="Z48" s="25" t="inlineStr">
        <is>
          <t>P</t>
        </is>
      </c>
      <c r="AA48" s="25" t="inlineStr">
        <is>
          <t>P</t>
        </is>
      </c>
      <c r="AB48" s="25" t="inlineStr">
        <is>
          <t>P</t>
        </is>
      </c>
      <c r="AC48" s="25" t="inlineStr">
        <is>
          <t>P</t>
        </is>
      </c>
      <c r="AD48" s="25" t="inlineStr">
        <is>
          <t>P</t>
        </is>
      </c>
      <c r="AE48" s="25" t="inlineStr">
        <is>
          <t>P</t>
        </is>
      </c>
      <c r="AF48" s="25" t="inlineStr">
        <is>
          <t>P</t>
        </is>
      </c>
      <c r="AG48" s="25" t="inlineStr">
        <is>
          <t>P</t>
        </is>
      </c>
      <c r="AH48" s="25" t="inlineStr">
        <is>
          <t>P</t>
        </is>
      </c>
      <c r="AI48" s="25" t="inlineStr">
        <is>
          <t>P</t>
        </is>
      </c>
      <c r="AJ48" s="25" t="inlineStr">
        <is>
          <t>P</t>
        </is>
      </c>
      <c r="AK48" s="25" t="inlineStr">
        <is>
          <t>P</t>
        </is>
      </c>
      <c r="AL48" s="25" t="inlineStr">
        <is>
          <t>P</t>
        </is>
      </c>
      <c r="AM48" s="25" t="inlineStr">
        <is>
          <t>P</t>
        </is>
      </c>
      <c r="AN48" s="25" t="inlineStr">
        <is>
          <t>P</t>
        </is>
      </c>
      <c r="AO48" s="25" t="inlineStr">
        <is>
          <t>P</t>
        </is>
      </c>
      <c r="AP48" s="25" t="inlineStr">
        <is>
          <t>P</t>
        </is>
      </c>
      <c r="AQ48" s="25" t="inlineStr">
        <is>
          <t>P</t>
        </is>
      </c>
      <c r="AR48" s="25" t="inlineStr">
        <is>
          <t>P</t>
        </is>
      </c>
      <c r="AS48" s="25" t="inlineStr">
        <is>
          <t>P</t>
        </is>
      </c>
      <c r="AT48" s="25" t="inlineStr">
        <is>
          <t>P</t>
        </is>
      </c>
      <c r="AU48" s="25" t="inlineStr">
        <is>
          <t>P</t>
        </is>
      </c>
      <c r="AV48" s="25" t="inlineStr">
        <is>
          <t>P</t>
        </is>
      </c>
      <c r="AW48" s="25" t="inlineStr">
        <is>
          <t>P</t>
        </is>
      </c>
      <c r="AX48" s="25" t="inlineStr">
        <is>
          <t>P</t>
        </is>
      </c>
      <c r="AY48" s="25" t="inlineStr">
        <is>
          <t>P</t>
        </is>
      </c>
      <c r="AZ48" s="25" t="inlineStr">
        <is>
          <t>P</t>
        </is>
      </c>
      <c r="BA48" s="25" t="inlineStr">
        <is>
          <t>P</t>
        </is>
      </c>
      <c r="BB48" s="25" t="inlineStr">
        <is>
          <t>P</t>
        </is>
      </c>
      <c r="BC48" s="25" t="inlineStr">
        <is>
          <t>P</t>
        </is>
      </c>
      <c r="BD48" s="25" t="inlineStr">
        <is>
          <t>P</t>
        </is>
      </c>
    </row>
    <row r="49">
      <c r="A49" s="16" t="n"/>
      <c r="B49" s="17" t="inlineStr">
        <is>
          <t>Executed Date</t>
        </is>
      </c>
      <c r="C49" s="4" t="n"/>
      <c r="D49" s="4" t="n"/>
      <c r="E49" s="4" t="n"/>
      <c r="F49" s="26" t="n">
        <v>46215</v>
      </c>
      <c r="G49" s="26" t="n">
        <v>46215</v>
      </c>
      <c r="H49" s="26" t="n">
        <v>46215</v>
      </c>
      <c r="I49" s="26" t="n">
        <v>46215</v>
      </c>
      <c r="J49" s="26" t="n">
        <v>46215</v>
      </c>
      <c r="K49" s="26" t="n">
        <v>46215</v>
      </c>
      <c r="L49" s="26" t="n">
        <v>46215</v>
      </c>
      <c r="M49" s="26" t="n">
        <v>46215</v>
      </c>
      <c r="N49" s="26" t="n">
        <v>46215</v>
      </c>
      <c r="O49" s="26" t="n">
        <v>46215</v>
      </c>
      <c r="P49" s="26" t="n">
        <v>46215</v>
      </c>
      <c r="Q49" s="26" t="n">
        <v>46215</v>
      </c>
      <c r="R49" s="26" t="n">
        <v>46215</v>
      </c>
      <c r="S49" s="26" t="n">
        <v>46215</v>
      </c>
      <c r="T49" s="26" t="n">
        <v>46215</v>
      </c>
      <c r="U49" s="26" t="n">
        <v>46215</v>
      </c>
      <c r="V49" s="26" t="n">
        <v>46215</v>
      </c>
      <c r="W49" s="26" t="n">
        <v>46215</v>
      </c>
      <c r="X49" s="26" t="n">
        <v>46215</v>
      </c>
      <c r="Y49" s="26" t="n">
        <v>46215</v>
      </c>
      <c r="Z49" s="26" t="n">
        <v>46215</v>
      </c>
      <c r="AA49" s="26" t="n">
        <v>46215</v>
      </c>
      <c r="AB49" s="26" t="n">
        <v>46215</v>
      </c>
      <c r="AC49" s="26" t="n">
        <v>46215</v>
      </c>
      <c r="AD49" s="26" t="n">
        <v>46215</v>
      </c>
      <c r="AE49" s="26" t="n">
        <v>46215</v>
      </c>
      <c r="AF49" s="26" t="n">
        <v>46215</v>
      </c>
      <c r="AG49" s="26" t="n">
        <v>46215</v>
      </c>
      <c r="AH49" s="26" t="n">
        <v>46215</v>
      </c>
      <c r="AI49" s="26" t="n">
        <v>46215</v>
      </c>
      <c r="AJ49" s="26" t="n">
        <v>46215</v>
      </c>
      <c r="AK49" s="26" t="n">
        <v>46215</v>
      </c>
      <c r="AL49" s="26" t="n">
        <v>46215</v>
      </c>
      <c r="AM49" s="26" t="n">
        <v>46215</v>
      </c>
      <c r="AN49" s="26" t="n">
        <v>46215</v>
      </c>
      <c r="AO49" s="26" t="n">
        <v>46215</v>
      </c>
      <c r="AP49" s="26" t="n">
        <v>46215</v>
      </c>
      <c r="AQ49" s="26" t="n">
        <v>46215</v>
      </c>
      <c r="AR49" s="26" t="n">
        <v>46215</v>
      </c>
      <c r="AS49" s="26" t="n">
        <v>46215</v>
      </c>
      <c r="AT49" s="26" t="n">
        <v>46215</v>
      </c>
      <c r="AU49" s="26" t="n">
        <v>46215</v>
      </c>
      <c r="AV49" s="26" t="n">
        <v>46215</v>
      </c>
      <c r="AW49" s="26" t="n">
        <v>46215</v>
      </c>
      <c r="AX49" s="26" t="n">
        <v>46215</v>
      </c>
      <c r="AY49" s="26" t="n">
        <v>46215</v>
      </c>
      <c r="AZ49" s="26" t="n">
        <v>46215</v>
      </c>
      <c r="BA49" s="26" t="n">
        <v>46215</v>
      </c>
      <c r="BB49" s="26" t="n">
        <v>46215</v>
      </c>
      <c r="BC49" s="26" t="n">
        <v>46215</v>
      </c>
      <c r="BD49" s="26" t="n">
        <v>46215</v>
      </c>
    </row>
    <row r="50">
      <c r="A50" s="16" t="n"/>
      <c r="B50" s="17" t="inlineStr">
        <is>
          <t>Defect ID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</row>
  </sheetData>
  <mergeCells count="27">
    <mergeCell ref="B49:E49"/>
    <mergeCell ref="C5:BD5"/>
    <mergeCell ref="F2:K2"/>
    <mergeCell ref="A6:B6"/>
    <mergeCell ref="C4:D4"/>
    <mergeCell ref="C2:E2"/>
    <mergeCell ref="A7:B7"/>
    <mergeCell ref="B50:E50"/>
    <mergeCell ref="L4:BD4"/>
    <mergeCell ref="B47:E47"/>
    <mergeCell ref="C7:E7"/>
    <mergeCell ref="L6:N6"/>
    <mergeCell ref="A3:B3"/>
    <mergeCell ref="A2:B2"/>
    <mergeCell ref="A5:B5"/>
    <mergeCell ref="B48:E48"/>
    <mergeCell ref="C3:E3"/>
    <mergeCell ref="F4:K4"/>
    <mergeCell ref="C6:E6"/>
    <mergeCell ref="A4:B4"/>
    <mergeCell ref="F6:K6"/>
    <mergeCell ref="O7:BD7"/>
    <mergeCell ref="F7:K7"/>
    <mergeCell ref="L2:BD2"/>
    <mergeCell ref="L3:N3"/>
    <mergeCell ref="F3:K3"/>
    <mergeCell ref="O6:BD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5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2">
      <c r="A2" s="15" t="inlineStr">
        <is>
          <t>Function Code</t>
        </is>
      </c>
      <c r="B2" s="16" t="n"/>
      <c r="C2" s="17" t="inlineStr">
        <is>
          <t>AiChatbotServletTest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AiChatbotServlet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5" t="inlineStr">
        <is>
          <t>Lines  of code</t>
        </is>
      </c>
      <c r="B4" s="16" t="n"/>
      <c r="C4" s="17" t="n">
        <v>226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5" t="inlineStr">
        <is>
          <t>Test requirement</t>
        </is>
      </c>
      <c r="B5" s="16" t="n"/>
      <c r="C5" s="17" t="inlineStr">
        <is>
          <t>Unit test for AiChatbotServlet (f14)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20">
        <f>COUNTIF(F48:Z48,"P")</f>
        <v/>
      </c>
      <c r="B7" s="4" t="n"/>
      <c r="C7" s="20">
        <f>COUNTIF(F48:Z48,"F")</f>
        <v/>
      </c>
      <c r="D7" s="4" t="n"/>
      <c r="E7" s="4" t="n"/>
      <c r="F7" s="20">
        <f>21-A7-C7</f>
        <v/>
      </c>
      <c r="G7" s="4" t="n"/>
      <c r="H7" s="4" t="n"/>
      <c r="I7" s="4" t="n"/>
      <c r="J7" s="4" t="n"/>
      <c r="K7" s="4" t="n"/>
      <c r="L7" s="17">
        <f>COUNTIF(F47:Z47,"N")</f>
        <v/>
      </c>
      <c r="M7" s="17">
        <f>COUNTIF(F47:Z47,"A")</f>
        <v/>
      </c>
      <c r="N7" s="17">
        <f>COUNTIF(F47:Z47,"B")</f>
        <v/>
      </c>
      <c r="O7" s="20" t="n">
        <v>21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6" t="n"/>
      <c r="B17" s="18" t="inlineStr">
        <is>
          <t>requestBodyJson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6" t="n"/>
      <c r="B20" s="18" t="inlineStr">
        <is>
          <t>Map&lt;String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16" t="n"/>
      <c r="B23" s="18" t="inlineStr">
        <is>
          <t>sessionAttributes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16" t="n"/>
      <c r="B26" s="18" t="inlineStr">
        <is>
          <t>Map&lt;String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16" t="n"/>
      <c r="B29" s="18" t="inlineStr">
        <is>
          <t>List&lt;Map&lt;String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16" t="n"/>
      <c r="B32" s="18" t="inlineStr">
        <is>
          <t>dbData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16" t="n"/>
      <c r="B35" s="18" t="inlineStr">
        <is>
          <t>expectSuccess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9">
      <c r="A39" s="15" t="inlineStr">
        <is>
          <t>Confirm</t>
        </is>
      </c>
      <c r="B39" s="18" t="inlineStr">
        <is>
          <t>Return</t>
        </is>
      </c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16" t="n"/>
      <c r="B40" s="19" t="n"/>
      <c r="C40" s="19" t="n"/>
      <c r="D40" s="23" t="inlineStr">
        <is>
          <t>Assertion verified</t>
        </is>
      </c>
      <c r="E40" s="22" t="n"/>
      <c r="F40" s="24" t="inlineStr">
        <is>
          <t>O</t>
        </is>
      </c>
      <c r="G40" s="24" t="inlineStr">
        <is>
          <t>O</t>
        </is>
      </c>
      <c r="H40" s="24" t="inlineStr">
        <is>
          <t>O</t>
        </is>
      </c>
      <c r="I40" s="24" t="inlineStr">
        <is>
          <t>O</t>
        </is>
      </c>
      <c r="J40" s="24" t="inlineStr">
        <is>
          <t>O</t>
        </is>
      </c>
      <c r="K40" s="24" t="inlineStr">
        <is>
          <t>O</t>
        </is>
      </c>
      <c r="L40" s="24" t="inlineStr">
        <is>
          <t>O</t>
        </is>
      </c>
      <c r="M40" s="24" t="inlineStr">
        <is>
          <t>O</t>
        </is>
      </c>
      <c r="N40" s="24" t="inlineStr">
        <is>
          <t>O</t>
        </is>
      </c>
      <c r="O40" s="24" t="inlineStr">
        <is>
          <t>O</t>
        </is>
      </c>
      <c r="P40" s="24" t="inlineStr">
        <is>
          <t>O</t>
        </is>
      </c>
      <c r="Q40" s="24" t="inlineStr">
        <is>
          <t>O</t>
        </is>
      </c>
      <c r="R40" s="24" t="inlineStr">
        <is>
          <t>O</t>
        </is>
      </c>
      <c r="S40" s="24" t="inlineStr">
        <is>
          <t>O</t>
        </is>
      </c>
      <c r="T40" s="24" t="inlineStr">
        <is>
          <t>O</t>
        </is>
      </c>
      <c r="U40" s="24" t="inlineStr">
        <is>
          <t>O</t>
        </is>
      </c>
      <c r="V40" s="24" t="inlineStr">
        <is>
          <t>O</t>
        </is>
      </c>
      <c r="W40" s="24" t="inlineStr">
        <is>
          <t>O</t>
        </is>
      </c>
      <c r="X40" s="24" t="inlineStr">
        <is>
          <t>O</t>
        </is>
      </c>
      <c r="Y40" s="24" t="inlineStr">
        <is>
          <t>O</t>
        </is>
      </c>
      <c r="Z40" s="24" t="inlineStr">
        <is>
          <t>O</t>
        </is>
      </c>
    </row>
    <row r="41">
      <c r="A41" s="16" t="n"/>
      <c r="B41" s="19" t="n"/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16" t="n"/>
      <c r="B42" s="18" t="inlineStr">
        <is>
          <t>Exception</t>
        </is>
      </c>
      <c r="C42" s="19" t="n"/>
      <c r="D42" s="19" t="n"/>
      <c r="E42" s="22" t="n"/>
      <c r="F42" s="24" t="inlineStr">
        <is>
          <t>O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16" t="n"/>
      <c r="B44" s="18" t="inlineStr">
        <is>
          <t>Log message</t>
        </is>
      </c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16" t="n"/>
      <c r="B45" s="19" t="n"/>
      <c r="C45" s="19" t="n"/>
      <c r="D45" s="19" t="n"/>
      <c r="E45" s="2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15" t="inlineStr">
        <is>
          <t>Result</t>
        </is>
      </c>
      <c r="B47" s="17" t="inlineStr">
        <is>
          <t>Type(N : Normal, A : Abnormal, B : Boundary)</t>
        </is>
      </c>
      <c r="C47" s="4" t="n"/>
      <c r="D47" s="4" t="n"/>
      <c r="E47" s="4" t="n"/>
      <c r="F47" s="25" t="inlineStr">
        <is>
          <t>A</t>
        </is>
      </c>
      <c r="G47" s="25" t="inlineStr">
        <is>
          <t>N</t>
        </is>
      </c>
      <c r="H47" s="25" t="inlineStr">
        <is>
          <t>N</t>
        </is>
      </c>
      <c r="I47" s="25" t="inlineStr">
        <is>
          <t>N</t>
        </is>
      </c>
      <c r="J47" s="25" t="inlineStr">
        <is>
          <t>N</t>
        </is>
      </c>
      <c r="K47" s="25" t="inlineStr">
        <is>
          <t>N</t>
        </is>
      </c>
      <c r="L47" s="25" t="inlineStr">
        <is>
          <t>N</t>
        </is>
      </c>
      <c r="M47" s="25" t="inlineStr">
        <is>
          <t>N</t>
        </is>
      </c>
      <c r="N47" s="25" t="inlineStr">
        <is>
          <t>N</t>
        </is>
      </c>
      <c r="O47" s="25" t="inlineStr">
        <is>
          <t>N</t>
        </is>
      </c>
      <c r="P47" s="25" t="inlineStr">
        <is>
          <t>N</t>
        </is>
      </c>
      <c r="Q47" s="25" t="inlineStr">
        <is>
          <t>N</t>
        </is>
      </c>
      <c r="R47" s="25" t="inlineStr">
        <is>
          <t>N</t>
        </is>
      </c>
      <c r="S47" s="25" t="inlineStr">
        <is>
          <t>N</t>
        </is>
      </c>
      <c r="T47" s="25" t="inlineStr">
        <is>
          <t>N</t>
        </is>
      </c>
      <c r="U47" s="25" t="inlineStr">
        <is>
          <t>N</t>
        </is>
      </c>
      <c r="V47" s="25" t="inlineStr">
        <is>
          <t>N</t>
        </is>
      </c>
      <c r="W47" s="25" t="inlineStr">
        <is>
          <t>N</t>
        </is>
      </c>
      <c r="X47" s="25" t="inlineStr">
        <is>
          <t>N</t>
        </is>
      </c>
      <c r="Y47" s="25" t="inlineStr">
        <is>
          <t>N</t>
        </is>
      </c>
      <c r="Z47" s="25" t="inlineStr">
        <is>
          <t>N</t>
        </is>
      </c>
    </row>
    <row r="48">
      <c r="A48" s="16" t="n"/>
      <c r="B48" s="17" t="inlineStr">
        <is>
          <t>Passed/Failed</t>
        </is>
      </c>
      <c r="C48" s="4" t="n"/>
      <c r="D48" s="4" t="n"/>
      <c r="E48" s="4" t="n"/>
      <c r="F48" s="25" t="inlineStr">
        <is>
          <t>P</t>
        </is>
      </c>
      <c r="G48" s="25" t="inlineStr">
        <is>
          <t>P</t>
        </is>
      </c>
      <c r="H48" s="25" t="inlineStr">
        <is>
          <t>P</t>
        </is>
      </c>
      <c r="I48" s="25" t="inlineStr">
        <is>
          <t>P</t>
        </is>
      </c>
      <c r="J48" s="25" t="inlineStr">
        <is>
          <t>P</t>
        </is>
      </c>
      <c r="K48" s="25" t="inlineStr">
        <is>
          <t>P</t>
        </is>
      </c>
      <c r="L48" s="25" t="inlineStr">
        <is>
          <t>P</t>
        </is>
      </c>
      <c r="M48" s="25" t="inlineStr">
        <is>
          <t>P</t>
        </is>
      </c>
      <c r="N48" s="25" t="inlineStr">
        <is>
          <t>P</t>
        </is>
      </c>
      <c r="O48" s="25" t="inlineStr">
        <is>
          <t>P</t>
        </is>
      </c>
      <c r="P48" s="25" t="inlineStr">
        <is>
          <t>P</t>
        </is>
      </c>
      <c r="Q48" s="25" t="inlineStr">
        <is>
          <t>P</t>
        </is>
      </c>
      <c r="R48" s="25" t="inlineStr">
        <is>
          <t>P</t>
        </is>
      </c>
      <c r="S48" s="25" t="inlineStr">
        <is>
          <t>P</t>
        </is>
      </c>
      <c r="T48" s="25" t="inlineStr">
        <is>
          <t>P</t>
        </is>
      </c>
      <c r="U48" s="25" t="inlineStr">
        <is>
          <t>P</t>
        </is>
      </c>
      <c r="V48" s="25" t="inlineStr">
        <is>
          <t>P</t>
        </is>
      </c>
      <c r="W48" s="25" t="inlineStr">
        <is>
          <t>P</t>
        </is>
      </c>
      <c r="X48" s="25" t="inlineStr">
        <is>
          <t>P</t>
        </is>
      </c>
      <c r="Y48" s="25" t="inlineStr">
        <is>
          <t>P</t>
        </is>
      </c>
      <c r="Z48" s="25" t="inlineStr">
        <is>
          <t>P</t>
        </is>
      </c>
    </row>
    <row r="49">
      <c r="A49" s="16" t="n"/>
      <c r="B49" s="17" t="inlineStr">
        <is>
          <t>Executed Date</t>
        </is>
      </c>
      <c r="C49" s="4" t="n"/>
      <c r="D49" s="4" t="n"/>
      <c r="E49" s="4" t="n"/>
      <c r="F49" s="26" t="n">
        <v>46215</v>
      </c>
      <c r="G49" s="26" t="n">
        <v>46215</v>
      </c>
      <c r="H49" s="26" t="n">
        <v>46215</v>
      </c>
      <c r="I49" s="26" t="n">
        <v>46215</v>
      </c>
      <c r="J49" s="26" t="n">
        <v>46215</v>
      </c>
      <c r="K49" s="26" t="n">
        <v>46215</v>
      </c>
      <c r="L49" s="26" t="n">
        <v>46215</v>
      </c>
      <c r="M49" s="26" t="n">
        <v>46215</v>
      </c>
      <c r="N49" s="26" t="n">
        <v>46215</v>
      </c>
      <c r="O49" s="26" t="n">
        <v>46215</v>
      </c>
      <c r="P49" s="26" t="n">
        <v>46215</v>
      </c>
      <c r="Q49" s="26" t="n">
        <v>46215</v>
      </c>
      <c r="R49" s="26" t="n">
        <v>46215</v>
      </c>
      <c r="S49" s="26" t="n">
        <v>46215</v>
      </c>
      <c r="T49" s="26" t="n">
        <v>46215</v>
      </c>
      <c r="U49" s="26" t="n">
        <v>46215</v>
      </c>
      <c r="V49" s="26" t="n">
        <v>46215</v>
      </c>
      <c r="W49" s="26" t="n">
        <v>46215</v>
      </c>
      <c r="X49" s="26" t="n">
        <v>46215</v>
      </c>
      <c r="Y49" s="26" t="n">
        <v>46215</v>
      </c>
      <c r="Z49" s="26" t="n">
        <v>46215</v>
      </c>
    </row>
    <row r="50">
      <c r="A50" s="16" t="n"/>
      <c r="B50" s="17" t="inlineStr">
        <is>
          <t>Defect ID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</sheetData>
  <mergeCells count="27">
    <mergeCell ref="B49:E49"/>
    <mergeCell ref="F2:K2"/>
    <mergeCell ref="A6:B6"/>
    <mergeCell ref="C4:D4"/>
    <mergeCell ref="C2:E2"/>
    <mergeCell ref="L4:Z4"/>
    <mergeCell ref="A7:B7"/>
    <mergeCell ref="B50:E50"/>
    <mergeCell ref="B47:E47"/>
    <mergeCell ref="C7:E7"/>
    <mergeCell ref="L6:N6"/>
    <mergeCell ref="A3:B3"/>
    <mergeCell ref="A2:B2"/>
    <mergeCell ref="A5:B5"/>
    <mergeCell ref="B48:E48"/>
    <mergeCell ref="C3:E3"/>
    <mergeCell ref="F4:K4"/>
    <mergeCell ref="O7:Z7"/>
    <mergeCell ref="C6:E6"/>
    <mergeCell ref="A4:B4"/>
    <mergeCell ref="L2:Z2"/>
    <mergeCell ref="F6:K6"/>
    <mergeCell ref="O6:Z6"/>
    <mergeCell ref="F7:K7"/>
    <mergeCell ref="C5:Z5"/>
    <mergeCell ref="L3:N3"/>
    <mergeCell ref="F3:K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GX6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</cols>
  <sheetData>
    <row r="2">
      <c r="A2" s="15" t="inlineStr">
        <is>
          <t>Function Code</t>
        </is>
      </c>
      <c r="B2" s="16" t="n"/>
      <c r="C2" s="17" t="inlineStr">
        <is>
          <t>BookSuggestionServiceTest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BookSuggestionService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  <c r="EY2" s="4" t="n"/>
      <c r="EZ2" s="4" t="n"/>
      <c r="FA2" s="4" t="n"/>
      <c r="FB2" s="4" t="n"/>
      <c r="FC2" s="4" t="n"/>
      <c r="FD2" s="4" t="n"/>
      <c r="FE2" s="4" t="n"/>
      <c r="FF2" s="4" t="n"/>
      <c r="FG2" s="4" t="n"/>
      <c r="FH2" s="4" t="n"/>
      <c r="FI2" s="4" t="n"/>
      <c r="FJ2" s="4" t="n"/>
      <c r="FK2" s="4" t="n"/>
      <c r="FL2" s="4" t="n"/>
      <c r="FM2" s="4" t="n"/>
      <c r="FN2" s="4" t="n"/>
      <c r="FO2" s="4" t="n"/>
      <c r="FP2" s="4" t="n"/>
      <c r="FQ2" s="4" t="n"/>
      <c r="FR2" s="4" t="n"/>
      <c r="FS2" s="4" t="n"/>
      <c r="FT2" s="4" t="n"/>
      <c r="FU2" s="4" t="n"/>
      <c r="FV2" s="4" t="n"/>
      <c r="FW2" s="4" t="n"/>
      <c r="FX2" s="4" t="n"/>
      <c r="FY2" s="4" t="n"/>
      <c r="FZ2" s="4" t="n"/>
      <c r="GA2" s="4" t="n"/>
      <c r="GB2" s="4" t="n"/>
      <c r="GC2" s="4" t="n"/>
      <c r="GD2" s="4" t="n"/>
      <c r="GE2" s="4" t="n"/>
      <c r="GF2" s="4" t="n"/>
      <c r="GG2" s="4" t="n"/>
      <c r="GH2" s="4" t="n"/>
      <c r="GI2" s="4" t="n"/>
      <c r="GJ2" s="4" t="n"/>
      <c r="GK2" s="4" t="n"/>
      <c r="GL2" s="4" t="n"/>
      <c r="GM2" s="4" t="n"/>
      <c r="GN2" s="4" t="n"/>
      <c r="GO2" s="4" t="n"/>
      <c r="GP2" s="4" t="n"/>
      <c r="GQ2" s="4" t="n"/>
      <c r="GR2" s="4" t="n"/>
      <c r="GS2" s="4" t="n"/>
      <c r="GT2" s="4" t="n"/>
      <c r="GU2" s="4" t="n"/>
      <c r="GV2" s="4" t="n"/>
      <c r="GW2" s="4" t="n"/>
      <c r="GX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</row>
    <row r="4">
      <c r="A4" s="15" t="inlineStr">
        <is>
          <t>Lines  of code</t>
        </is>
      </c>
      <c r="B4" s="16" t="n"/>
      <c r="C4" s="17" t="n">
        <v>236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  <c r="FB4" s="4" t="n"/>
      <c r="FC4" s="4" t="n"/>
      <c r="FD4" s="4" t="n"/>
      <c r="FE4" s="4" t="n"/>
      <c r="FF4" s="4" t="n"/>
      <c r="FG4" s="4" t="n"/>
      <c r="FH4" s="4" t="n"/>
      <c r="FI4" s="4" t="n"/>
      <c r="FJ4" s="4" t="n"/>
      <c r="FK4" s="4" t="n"/>
      <c r="FL4" s="4" t="n"/>
      <c r="FM4" s="4" t="n"/>
      <c r="FN4" s="4" t="n"/>
      <c r="FO4" s="4" t="n"/>
      <c r="FP4" s="4" t="n"/>
      <c r="FQ4" s="4" t="n"/>
      <c r="FR4" s="4" t="n"/>
      <c r="FS4" s="4" t="n"/>
      <c r="FT4" s="4" t="n"/>
      <c r="FU4" s="4" t="n"/>
      <c r="FV4" s="4" t="n"/>
      <c r="FW4" s="4" t="n"/>
      <c r="FX4" s="4" t="n"/>
      <c r="FY4" s="4" t="n"/>
      <c r="FZ4" s="4" t="n"/>
      <c r="GA4" s="4" t="n"/>
      <c r="GB4" s="4" t="n"/>
      <c r="GC4" s="4" t="n"/>
      <c r="GD4" s="4" t="n"/>
      <c r="GE4" s="4" t="n"/>
      <c r="GF4" s="4" t="n"/>
      <c r="GG4" s="4" t="n"/>
      <c r="GH4" s="4" t="n"/>
      <c r="GI4" s="4" t="n"/>
      <c r="GJ4" s="4" t="n"/>
      <c r="GK4" s="4" t="n"/>
      <c r="GL4" s="4" t="n"/>
      <c r="GM4" s="4" t="n"/>
      <c r="GN4" s="4" t="n"/>
      <c r="GO4" s="4" t="n"/>
      <c r="GP4" s="4" t="n"/>
      <c r="GQ4" s="4" t="n"/>
      <c r="GR4" s="4" t="n"/>
      <c r="GS4" s="4" t="n"/>
      <c r="GT4" s="4" t="n"/>
      <c r="GU4" s="4" t="n"/>
      <c r="GV4" s="4" t="n"/>
      <c r="GW4" s="4" t="n"/>
      <c r="GX4" s="4" t="n"/>
    </row>
    <row r="5">
      <c r="A5" s="15" t="inlineStr">
        <is>
          <t>Test requirement</t>
        </is>
      </c>
      <c r="B5" s="16" t="n"/>
      <c r="C5" s="17" t="inlineStr">
        <is>
          <t>Unit test for BookSuggestionService (f20)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  <c r="GS5" s="4" t="n"/>
      <c r="GT5" s="4" t="n"/>
      <c r="GU5" s="4" t="n"/>
      <c r="GV5" s="4" t="n"/>
      <c r="GW5" s="4" t="n"/>
      <c r="GX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H6" s="4" t="n"/>
      <c r="EI6" s="4" t="n"/>
      <c r="EJ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n"/>
      <c r="GA6" s="4" t="n"/>
      <c r="GB6" s="4" t="n"/>
      <c r="GC6" s="4" t="n"/>
      <c r="GD6" s="4" t="n"/>
      <c r="GE6" s="4" t="n"/>
      <c r="GF6" s="4" t="n"/>
      <c r="GG6" s="4" t="n"/>
      <c r="GH6" s="4" t="n"/>
      <c r="GI6" s="4" t="n"/>
      <c r="GJ6" s="4" t="n"/>
      <c r="GK6" s="4" t="n"/>
      <c r="GL6" s="4" t="n"/>
      <c r="GM6" s="4" t="n"/>
      <c r="GN6" s="4" t="n"/>
      <c r="GO6" s="4" t="n"/>
      <c r="GP6" s="4" t="n"/>
      <c r="GQ6" s="4" t="n"/>
      <c r="GR6" s="4" t="n"/>
      <c r="GS6" s="4" t="n"/>
      <c r="GT6" s="4" t="n"/>
      <c r="GU6" s="4" t="n"/>
      <c r="GV6" s="4" t="n"/>
      <c r="GW6" s="4" t="n"/>
      <c r="GX6" s="4" t="n"/>
    </row>
    <row r="7">
      <c r="A7" s="20">
        <f>COUNTIF(F60:GX60,"P")</f>
        <v/>
      </c>
      <c r="B7" s="4" t="n"/>
      <c r="C7" s="20">
        <f>COUNTIF(F60:GX60,"F")</f>
        <v/>
      </c>
      <c r="D7" s="4" t="n"/>
      <c r="E7" s="4" t="n"/>
      <c r="F7" s="20">
        <f>201-A7-C7</f>
        <v/>
      </c>
      <c r="G7" s="4" t="n"/>
      <c r="H7" s="4" t="n"/>
      <c r="I7" s="4" t="n"/>
      <c r="J7" s="4" t="n"/>
      <c r="K7" s="4" t="n"/>
      <c r="L7" s="17">
        <f>COUNTIF(F59:GX59,"N")</f>
        <v/>
      </c>
      <c r="M7" s="17">
        <f>COUNTIF(F59:GX59,"A")</f>
        <v/>
      </c>
      <c r="N7" s="17">
        <f>COUNTIF(F59:GX59,"B")</f>
        <v/>
      </c>
      <c r="O7" s="20" t="n">
        <v>201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n"/>
      <c r="GX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  <c r="BD8" s="21" t="inlineStr">
        <is>
          <t>TC051</t>
        </is>
      </c>
      <c r="BE8" s="21" t="inlineStr">
        <is>
          <t>TC052</t>
        </is>
      </c>
      <c r="BF8" s="21" t="inlineStr">
        <is>
          <t>TC053</t>
        </is>
      </c>
      <c r="BG8" s="21" t="inlineStr">
        <is>
          <t>TC054</t>
        </is>
      </c>
      <c r="BH8" s="21" t="inlineStr">
        <is>
          <t>TC055</t>
        </is>
      </c>
      <c r="BI8" s="21" t="inlineStr">
        <is>
          <t>TC056</t>
        </is>
      </c>
      <c r="BJ8" s="21" t="inlineStr">
        <is>
          <t>TC057</t>
        </is>
      </c>
      <c r="BK8" s="21" t="inlineStr">
        <is>
          <t>TC058</t>
        </is>
      </c>
      <c r="BL8" s="21" t="inlineStr">
        <is>
          <t>TC059</t>
        </is>
      </c>
      <c r="BM8" s="21" t="inlineStr">
        <is>
          <t>TC060</t>
        </is>
      </c>
      <c r="BN8" s="21" t="inlineStr">
        <is>
          <t>TC061</t>
        </is>
      </c>
      <c r="BO8" s="21" t="inlineStr">
        <is>
          <t>TC062</t>
        </is>
      </c>
      <c r="BP8" s="21" t="inlineStr">
        <is>
          <t>TC063</t>
        </is>
      </c>
      <c r="BQ8" s="21" t="inlineStr">
        <is>
          <t>TC064</t>
        </is>
      </c>
      <c r="BR8" s="21" t="inlineStr">
        <is>
          <t>TC065</t>
        </is>
      </c>
      <c r="BS8" s="21" t="inlineStr">
        <is>
          <t>TC066</t>
        </is>
      </c>
      <c r="BT8" s="21" t="inlineStr">
        <is>
          <t>TC067</t>
        </is>
      </c>
      <c r="BU8" s="21" t="inlineStr">
        <is>
          <t>TC068</t>
        </is>
      </c>
      <c r="BV8" s="21" t="inlineStr">
        <is>
          <t>TC069</t>
        </is>
      </c>
      <c r="BW8" s="21" t="inlineStr">
        <is>
          <t>TC070</t>
        </is>
      </c>
      <c r="BX8" s="21" t="inlineStr">
        <is>
          <t>TC071</t>
        </is>
      </c>
      <c r="BY8" s="21" t="inlineStr">
        <is>
          <t>TC072</t>
        </is>
      </c>
      <c r="BZ8" s="21" t="inlineStr">
        <is>
          <t>TC073</t>
        </is>
      </c>
      <c r="CA8" s="21" t="inlineStr">
        <is>
          <t>TC074</t>
        </is>
      </c>
      <c r="CB8" s="21" t="inlineStr">
        <is>
          <t>TC075</t>
        </is>
      </c>
      <c r="CC8" s="21" t="inlineStr">
        <is>
          <t>TC076</t>
        </is>
      </c>
      <c r="CD8" s="21" t="inlineStr">
        <is>
          <t>TC077</t>
        </is>
      </c>
      <c r="CE8" s="21" t="inlineStr">
        <is>
          <t>TC078</t>
        </is>
      </c>
      <c r="CF8" s="21" t="inlineStr">
        <is>
          <t>TC079</t>
        </is>
      </c>
      <c r="CG8" s="21" t="inlineStr">
        <is>
          <t>TC080</t>
        </is>
      </c>
      <c r="CH8" s="21" t="inlineStr">
        <is>
          <t>TC081</t>
        </is>
      </c>
      <c r="CI8" s="21" t="inlineStr">
        <is>
          <t>TC082</t>
        </is>
      </c>
      <c r="CJ8" s="21" t="inlineStr">
        <is>
          <t>TC083</t>
        </is>
      </c>
      <c r="CK8" s="21" t="inlineStr">
        <is>
          <t>TC084</t>
        </is>
      </c>
      <c r="CL8" s="21" t="inlineStr">
        <is>
          <t>TC085</t>
        </is>
      </c>
      <c r="CM8" s="21" t="inlineStr">
        <is>
          <t>TC086</t>
        </is>
      </c>
      <c r="CN8" s="21" t="inlineStr">
        <is>
          <t>TC087</t>
        </is>
      </c>
      <c r="CO8" s="21" t="inlineStr">
        <is>
          <t>TC088</t>
        </is>
      </c>
      <c r="CP8" s="21" t="inlineStr">
        <is>
          <t>TC089</t>
        </is>
      </c>
      <c r="CQ8" s="21" t="inlineStr">
        <is>
          <t>TC090</t>
        </is>
      </c>
      <c r="CR8" s="21" t="inlineStr">
        <is>
          <t>TC091</t>
        </is>
      </c>
      <c r="CS8" s="21" t="inlineStr">
        <is>
          <t>TC092</t>
        </is>
      </c>
      <c r="CT8" s="21" t="inlineStr">
        <is>
          <t>TC093</t>
        </is>
      </c>
      <c r="CU8" s="21" t="inlineStr">
        <is>
          <t>TC094</t>
        </is>
      </c>
      <c r="CV8" s="21" t="inlineStr">
        <is>
          <t>TC095</t>
        </is>
      </c>
      <c r="CW8" s="21" t="inlineStr">
        <is>
          <t>TC096</t>
        </is>
      </c>
      <c r="CX8" s="21" t="inlineStr">
        <is>
          <t>TC097</t>
        </is>
      </c>
      <c r="CY8" s="21" t="inlineStr">
        <is>
          <t>TC098</t>
        </is>
      </c>
      <c r="CZ8" s="21" t="inlineStr">
        <is>
          <t>TC099</t>
        </is>
      </c>
      <c r="DA8" s="21" t="inlineStr">
        <is>
          <t>TC100</t>
        </is>
      </c>
      <c r="DB8" s="21" t="inlineStr">
        <is>
          <t>TC101</t>
        </is>
      </c>
      <c r="DC8" s="21" t="inlineStr">
        <is>
          <t>TC102</t>
        </is>
      </c>
      <c r="DD8" s="21" t="inlineStr">
        <is>
          <t>TC103</t>
        </is>
      </c>
      <c r="DE8" s="21" t="inlineStr">
        <is>
          <t>TC104</t>
        </is>
      </c>
      <c r="DF8" s="21" t="inlineStr">
        <is>
          <t>TC105</t>
        </is>
      </c>
      <c r="DG8" s="21" t="inlineStr">
        <is>
          <t>TC106</t>
        </is>
      </c>
      <c r="DH8" s="21" t="inlineStr">
        <is>
          <t>TC107</t>
        </is>
      </c>
      <c r="DI8" s="21" t="inlineStr">
        <is>
          <t>TC108</t>
        </is>
      </c>
      <c r="DJ8" s="21" t="inlineStr">
        <is>
          <t>TC109</t>
        </is>
      </c>
      <c r="DK8" s="21" t="inlineStr">
        <is>
          <t>TC110</t>
        </is>
      </c>
      <c r="DL8" s="21" t="inlineStr">
        <is>
          <t>TC111</t>
        </is>
      </c>
      <c r="DM8" s="21" t="inlineStr">
        <is>
          <t>TC112</t>
        </is>
      </c>
      <c r="DN8" s="21" t="inlineStr">
        <is>
          <t>TC113</t>
        </is>
      </c>
      <c r="DO8" s="21" t="inlineStr">
        <is>
          <t>TC114</t>
        </is>
      </c>
      <c r="DP8" s="21" t="inlineStr">
        <is>
          <t>TC115</t>
        </is>
      </c>
      <c r="DQ8" s="21" t="inlineStr">
        <is>
          <t>TC116</t>
        </is>
      </c>
      <c r="DR8" s="21" t="inlineStr">
        <is>
          <t>TC117</t>
        </is>
      </c>
      <c r="DS8" s="21" t="inlineStr">
        <is>
          <t>TC118</t>
        </is>
      </c>
      <c r="DT8" s="21" t="inlineStr">
        <is>
          <t>TC119</t>
        </is>
      </c>
      <c r="DU8" s="21" t="inlineStr">
        <is>
          <t>TC120</t>
        </is>
      </c>
      <c r="DV8" s="21" t="inlineStr">
        <is>
          <t>TC121</t>
        </is>
      </c>
      <c r="DW8" s="21" t="inlineStr">
        <is>
          <t>TC122</t>
        </is>
      </c>
      <c r="DX8" s="21" t="inlineStr">
        <is>
          <t>TC123</t>
        </is>
      </c>
      <c r="DY8" s="21" t="inlineStr">
        <is>
          <t>TC124</t>
        </is>
      </c>
      <c r="DZ8" s="21" t="inlineStr">
        <is>
          <t>TC125</t>
        </is>
      </c>
      <c r="EA8" s="21" t="inlineStr">
        <is>
          <t>TC126</t>
        </is>
      </c>
      <c r="EB8" s="21" t="inlineStr">
        <is>
          <t>TC127</t>
        </is>
      </c>
      <c r="EC8" s="21" t="inlineStr">
        <is>
          <t>TC128</t>
        </is>
      </c>
      <c r="ED8" s="21" t="inlineStr">
        <is>
          <t>TC129</t>
        </is>
      </c>
      <c r="EE8" s="21" t="inlineStr">
        <is>
          <t>TC130</t>
        </is>
      </c>
      <c r="EF8" s="21" t="inlineStr">
        <is>
          <t>TC131</t>
        </is>
      </c>
      <c r="EG8" s="21" t="inlineStr">
        <is>
          <t>TC132</t>
        </is>
      </c>
      <c r="EH8" s="21" t="inlineStr">
        <is>
          <t>TC133</t>
        </is>
      </c>
      <c r="EI8" s="21" t="inlineStr">
        <is>
          <t>TC134</t>
        </is>
      </c>
      <c r="EJ8" s="21" t="inlineStr">
        <is>
          <t>TC135</t>
        </is>
      </c>
      <c r="EK8" s="21" t="inlineStr">
        <is>
          <t>TC136</t>
        </is>
      </c>
      <c r="EL8" s="21" t="inlineStr">
        <is>
          <t>TC137</t>
        </is>
      </c>
      <c r="EM8" s="21" t="inlineStr">
        <is>
          <t>TC138</t>
        </is>
      </c>
      <c r="EN8" s="21" t="inlineStr">
        <is>
          <t>TC139</t>
        </is>
      </c>
      <c r="EO8" s="21" t="inlineStr">
        <is>
          <t>TC140</t>
        </is>
      </c>
      <c r="EP8" s="21" t="inlineStr">
        <is>
          <t>TC141</t>
        </is>
      </c>
      <c r="EQ8" s="21" t="inlineStr">
        <is>
          <t>TC142</t>
        </is>
      </c>
      <c r="ER8" s="21" t="inlineStr">
        <is>
          <t>TC143</t>
        </is>
      </c>
      <c r="ES8" s="21" t="inlineStr">
        <is>
          <t>TC144</t>
        </is>
      </c>
      <c r="ET8" s="21" t="inlineStr">
        <is>
          <t>TC145</t>
        </is>
      </c>
      <c r="EU8" s="21" t="inlineStr">
        <is>
          <t>TC146</t>
        </is>
      </c>
      <c r="EV8" s="21" t="inlineStr">
        <is>
          <t>TC147</t>
        </is>
      </c>
      <c r="EW8" s="21" t="inlineStr">
        <is>
          <t>TC148</t>
        </is>
      </c>
      <c r="EX8" s="21" t="inlineStr">
        <is>
          <t>TC149</t>
        </is>
      </c>
      <c r="EY8" s="21" t="inlineStr">
        <is>
          <t>TC150</t>
        </is>
      </c>
      <c r="EZ8" s="21" t="inlineStr">
        <is>
          <t>TC151</t>
        </is>
      </c>
      <c r="FA8" s="21" t="inlineStr">
        <is>
          <t>TC152</t>
        </is>
      </c>
      <c r="FB8" s="21" t="inlineStr">
        <is>
          <t>TC153</t>
        </is>
      </c>
      <c r="FC8" s="21" t="inlineStr">
        <is>
          <t>TC154</t>
        </is>
      </c>
      <c r="FD8" s="21" t="inlineStr">
        <is>
          <t>TC155</t>
        </is>
      </c>
      <c r="FE8" s="21" t="inlineStr">
        <is>
          <t>TC156</t>
        </is>
      </c>
      <c r="FF8" s="21" t="inlineStr">
        <is>
          <t>TC157</t>
        </is>
      </c>
      <c r="FG8" s="21" t="inlineStr">
        <is>
          <t>TC158</t>
        </is>
      </c>
      <c r="FH8" s="21" t="inlineStr">
        <is>
          <t>TC159</t>
        </is>
      </c>
      <c r="FI8" s="21" t="inlineStr">
        <is>
          <t>TC160</t>
        </is>
      </c>
      <c r="FJ8" s="21" t="inlineStr">
        <is>
          <t>TC161</t>
        </is>
      </c>
      <c r="FK8" s="21" t="inlineStr">
        <is>
          <t>TC162</t>
        </is>
      </c>
      <c r="FL8" s="21" t="inlineStr">
        <is>
          <t>TC163</t>
        </is>
      </c>
      <c r="FM8" s="21" t="inlineStr">
        <is>
          <t>TC164</t>
        </is>
      </c>
      <c r="FN8" s="21" t="inlineStr">
        <is>
          <t>TC165</t>
        </is>
      </c>
      <c r="FO8" s="21" t="inlineStr">
        <is>
          <t>TC166</t>
        </is>
      </c>
      <c r="FP8" s="21" t="inlineStr">
        <is>
          <t>TC167</t>
        </is>
      </c>
      <c r="FQ8" s="21" t="inlineStr">
        <is>
          <t>TC168</t>
        </is>
      </c>
      <c r="FR8" s="21" t="inlineStr">
        <is>
          <t>TC169</t>
        </is>
      </c>
      <c r="FS8" s="21" t="inlineStr">
        <is>
          <t>TC170</t>
        </is>
      </c>
      <c r="FT8" s="21" t="inlineStr">
        <is>
          <t>TC171</t>
        </is>
      </c>
      <c r="FU8" s="21" t="inlineStr">
        <is>
          <t>TC172</t>
        </is>
      </c>
      <c r="FV8" s="21" t="inlineStr">
        <is>
          <t>TC173</t>
        </is>
      </c>
      <c r="FW8" s="21" t="inlineStr">
        <is>
          <t>TC174</t>
        </is>
      </c>
      <c r="FX8" s="21" t="inlineStr">
        <is>
          <t>TC175</t>
        </is>
      </c>
      <c r="FY8" s="21" t="inlineStr">
        <is>
          <t>TC176</t>
        </is>
      </c>
      <c r="FZ8" s="21" t="inlineStr">
        <is>
          <t>TC177</t>
        </is>
      </c>
      <c r="GA8" s="21" t="inlineStr">
        <is>
          <t>TC178</t>
        </is>
      </c>
      <c r="GB8" s="21" t="inlineStr">
        <is>
          <t>TC179</t>
        </is>
      </c>
      <c r="GC8" s="21" t="inlineStr">
        <is>
          <t>TC180</t>
        </is>
      </c>
      <c r="GD8" s="21" t="inlineStr">
        <is>
          <t>TC181</t>
        </is>
      </c>
      <c r="GE8" s="21" t="inlineStr">
        <is>
          <t>TC182</t>
        </is>
      </c>
      <c r="GF8" s="21" t="inlineStr">
        <is>
          <t>TC183</t>
        </is>
      </c>
      <c r="GG8" s="21" t="inlineStr">
        <is>
          <t>TC184</t>
        </is>
      </c>
      <c r="GH8" s="21" t="inlineStr">
        <is>
          <t>TC185</t>
        </is>
      </c>
      <c r="GI8" s="21" t="inlineStr">
        <is>
          <t>TC186</t>
        </is>
      </c>
      <c r="GJ8" s="21" t="inlineStr">
        <is>
          <t>TC187</t>
        </is>
      </c>
      <c r="GK8" s="21" t="inlineStr">
        <is>
          <t>TC188</t>
        </is>
      </c>
      <c r="GL8" s="21" t="inlineStr">
        <is>
          <t>TC189</t>
        </is>
      </c>
      <c r="GM8" s="21" t="inlineStr">
        <is>
          <t>TC190</t>
        </is>
      </c>
      <c r="GN8" s="21" t="inlineStr">
        <is>
          <t>TC191</t>
        </is>
      </c>
      <c r="GO8" s="21" t="inlineStr">
        <is>
          <t>TC192</t>
        </is>
      </c>
      <c r="GP8" s="21" t="inlineStr">
        <is>
          <t>TC193</t>
        </is>
      </c>
      <c r="GQ8" s="21" t="inlineStr">
        <is>
          <t>TC194</t>
        </is>
      </c>
      <c r="GR8" s="21" t="inlineStr">
        <is>
          <t>TC195</t>
        </is>
      </c>
      <c r="GS8" s="21" t="inlineStr">
        <is>
          <t>TC196</t>
        </is>
      </c>
      <c r="GT8" s="21" t="inlineStr">
        <is>
          <t>TC197</t>
        </is>
      </c>
      <c r="GU8" s="21" t="inlineStr">
        <is>
          <t>TC198</t>
        </is>
      </c>
      <c r="GV8" s="21" t="inlineStr">
        <is>
          <t>TC199</t>
        </is>
      </c>
      <c r="GW8" s="21" t="inlineStr">
        <is>
          <t>TC200</t>
        </is>
      </c>
      <c r="GX8" s="21" t="inlineStr">
        <is>
          <t>TC201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n"/>
      <c r="GX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  <c r="BD11" s="24" t="inlineStr">
        <is>
          <t>O</t>
        </is>
      </c>
      <c r="BE11" s="24" t="inlineStr">
        <is>
          <t>O</t>
        </is>
      </c>
      <c r="BF11" s="24" t="inlineStr">
        <is>
          <t>O</t>
        </is>
      </c>
      <c r="BG11" s="24" t="inlineStr">
        <is>
          <t>O</t>
        </is>
      </c>
      <c r="BH11" s="24" t="inlineStr">
        <is>
          <t>O</t>
        </is>
      </c>
      <c r="BI11" s="24" t="inlineStr">
        <is>
          <t>O</t>
        </is>
      </c>
      <c r="BJ11" s="24" t="inlineStr">
        <is>
          <t>O</t>
        </is>
      </c>
      <c r="BK11" s="24" t="inlineStr">
        <is>
          <t>O</t>
        </is>
      </c>
      <c r="BL11" s="24" t="inlineStr">
        <is>
          <t>O</t>
        </is>
      </c>
      <c r="BM11" s="24" t="inlineStr">
        <is>
          <t>O</t>
        </is>
      </c>
      <c r="BN11" s="24" t="inlineStr">
        <is>
          <t>O</t>
        </is>
      </c>
      <c r="BO11" s="24" t="inlineStr">
        <is>
          <t>O</t>
        </is>
      </c>
      <c r="BP11" s="24" t="inlineStr">
        <is>
          <t>O</t>
        </is>
      </c>
      <c r="BQ11" s="24" t="inlineStr">
        <is>
          <t>O</t>
        </is>
      </c>
      <c r="BR11" s="24" t="inlineStr">
        <is>
          <t>O</t>
        </is>
      </c>
      <c r="BS11" s="24" t="inlineStr">
        <is>
          <t>O</t>
        </is>
      </c>
      <c r="BT11" s="24" t="inlineStr">
        <is>
          <t>O</t>
        </is>
      </c>
      <c r="BU11" s="24" t="inlineStr">
        <is>
          <t>O</t>
        </is>
      </c>
      <c r="BV11" s="24" t="inlineStr">
        <is>
          <t>O</t>
        </is>
      </c>
      <c r="BW11" s="24" t="inlineStr">
        <is>
          <t>O</t>
        </is>
      </c>
      <c r="BX11" s="24" t="inlineStr">
        <is>
          <t>O</t>
        </is>
      </c>
      <c r="BY11" s="24" t="inlineStr">
        <is>
          <t>O</t>
        </is>
      </c>
      <c r="BZ11" s="24" t="inlineStr">
        <is>
          <t>O</t>
        </is>
      </c>
      <c r="CA11" s="24" t="inlineStr">
        <is>
          <t>O</t>
        </is>
      </c>
      <c r="CB11" s="24" t="inlineStr">
        <is>
          <t>O</t>
        </is>
      </c>
      <c r="CC11" s="24" t="inlineStr">
        <is>
          <t>O</t>
        </is>
      </c>
      <c r="CD11" s="24" t="inlineStr">
        <is>
          <t>O</t>
        </is>
      </c>
      <c r="CE11" s="24" t="inlineStr">
        <is>
          <t>O</t>
        </is>
      </c>
      <c r="CF11" s="24" t="inlineStr">
        <is>
          <t>O</t>
        </is>
      </c>
      <c r="CG11" s="24" t="inlineStr">
        <is>
          <t>O</t>
        </is>
      </c>
      <c r="CH11" s="24" t="inlineStr">
        <is>
          <t>O</t>
        </is>
      </c>
      <c r="CI11" s="24" t="inlineStr">
        <is>
          <t>O</t>
        </is>
      </c>
      <c r="CJ11" s="24" t="inlineStr">
        <is>
          <t>O</t>
        </is>
      </c>
      <c r="CK11" s="24" t="inlineStr">
        <is>
          <t>O</t>
        </is>
      </c>
      <c r="CL11" s="24" t="inlineStr">
        <is>
          <t>O</t>
        </is>
      </c>
      <c r="CM11" s="24" t="inlineStr">
        <is>
          <t>O</t>
        </is>
      </c>
      <c r="CN11" s="24" t="inlineStr">
        <is>
          <t>O</t>
        </is>
      </c>
      <c r="CO11" s="24" t="inlineStr">
        <is>
          <t>O</t>
        </is>
      </c>
      <c r="CP11" s="24" t="inlineStr">
        <is>
          <t>O</t>
        </is>
      </c>
      <c r="CQ11" s="24" t="inlineStr">
        <is>
          <t>O</t>
        </is>
      </c>
      <c r="CR11" s="24" t="inlineStr">
        <is>
          <t>O</t>
        </is>
      </c>
      <c r="CS11" s="24" t="inlineStr">
        <is>
          <t>O</t>
        </is>
      </c>
      <c r="CT11" s="24" t="inlineStr">
        <is>
          <t>O</t>
        </is>
      </c>
      <c r="CU11" s="24" t="inlineStr">
        <is>
          <t>O</t>
        </is>
      </c>
      <c r="CV11" s="24" t="inlineStr">
        <is>
          <t>O</t>
        </is>
      </c>
      <c r="CW11" s="24" t="inlineStr">
        <is>
          <t>O</t>
        </is>
      </c>
      <c r="CX11" s="24" t="inlineStr">
        <is>
          <t>O</t>
        </is>
      </c>
      <c r="CY11" s="24" t="inlineStr">
        <is>
          <t>O</t>
        </is>
      </c>
      <c r="CZ11" s="24" t="inlineStr">
        <is>
          <t>O</t>
        </is>
      </c>
      <c r="DA11" s="24" t="inlineStr">
        <is>
          <t>O</t>
        </is>
      </c>
      <c r="DB11" s="24" t="inlineStr">
        <is>
          <t>O</t>
        </is>
      </c>
      <c r="DC11" s="24" t="inlineStr">
        <is>
          <t>O</t>
        </is>
      </c>
      <c r="DD11" s="24" t="inlineStr">
        <is>
          <t>O</t>
        </is>
      </c>
      <c r="DE11" s="24" t="inlineStr">
        <is>
          <t>O</t>
        </is>
      </c>
      <c r="DF11" s="24" t="inlineStr">
        <is>
          <t>O</t>
        </is>
      </c>
      <c r="DG11" s="24" t="inlineStr">
        <is>
          <t>O</t>
        </is>
      </c>
      <c r="DH11" s="24" t="inlineStr">
        <is>
          <t>O</t>
        </is>
      </c>
      <c r="DI11" s="24" t="inlineStr">
        <is>
          <t>O</t>
        </is>
      </c>
      <c r="DJ11" s="24" t="inlineStr">
        <is>
          <t>O</t>
        </is>
      </c>
      <c r="DK11" s="24" t="inlineStr">
        <is>
          <t>O</t>
        </is>
      </c>
      <c r="DL11" s="24" t="inlineStr">
        <is>
          <t>O</t>
        </is>
      </c>
      <c r="DM11" s="24" t="inlineStr">
        <is>
          <t>O</t>
        </is>
      </c>
      <c r="DN11" s="24" t="inlineStr">
        <is>
          <t>O</t>
        </is>
      </c>
      <c r="DO11" s="24" t="inlineStr">
        <is>
          <t>O</t>
        </is>
      </c>
      <c r="DP11" s="24" t="inlineStr">
        <is>
          <t>O</t>
        </is>
      </c>
      <c r="DQ11" s="24" t="inlineStr">
        <is>
          <t>O</t>
        </is>
      </c>
      <c r="DR11" s="24" t="inlineStr">
        <is>
          <t>O</t>
        </is>
      </c>
      <c r="DS11" s="24" t="inlineStr">
        <is>
          <t>O</t>
        </is>
      </c>
      <c r="DT11" s="24" t="inlineStr">
        <is>
          <t>O</t>
        </is>
      </c>
      <c r="DU11" s="24" t="inlineStr">
        <is>
          <t>O</t>
        </is>
      </c>
      <c r="DV11" s="24" t="inlineStr">
        <is>
          <t>O</t>
        </is>
      </c>
      <c r="DW11" s="24" t="inlineStr">
        <is>
          <t>O</t>
        </is>
      </c>
      <c r="DX11" s="24" t="inlineStr">
        <is>
          <t>O</t>
        </is>
      </c>
      <c r="DY11" s="24" t="inlineStr">
        <is>
          <t>O</t>
        </is>
      </c>
      <c r="DZ11" s="24" t="inlineStr">
        <is>
          <t>O</t>
        </is>
      </c>
      <c r="EA11" s="24" t="inlineStr">
        <is>
          <t>O</t>
        </is>
      </c>
      <c r="EB11" s="24" t="inlineStr">
        <is>
          <t>O</t>
        </is>
      </c>
      <c r="EC11" s="24" t="inlineStr">
        <is>
          <t>O</t>
        </is>
      </c>
      <c r="ED11" s="24" t="inlineStr">
        <is>
          <t>O</t>
        </is>
      </c>
      <c r="EE11" s="24" t="inlineStr">
        <is>
          <t>O</t>
        </is>
      </c>
      <c r="EF11" s="24" t="inlineStr">
        <is>
          <t>O</t>
        </is>
      </c>
      <c r="EG11" s="24" t="inlineStr">
        <is>
          <t>O</t>
        </is>
      </c>
      <c r="EH11" s="24" t="inlineStr">
        <is>
          <t>O</t>
        </is>
      </c>
      <c r="EI11" s="24" t="inlineStr">
        <is>
          <t>O</t>
        </is>
      </c>
      <c r="EJ11" s="24" t="inlineStr">
        <is>
          <t>O</t>
        </is>
      </c>
      <c r="EK11" s="24" t="inlineStr">
        <is>
          <t>O</t>
        </is>
      </c>
      <c r="EL11" s="24" t="inlineStr">
        <is>
          <t>O</t>
        </is>
      </c>
      <c r="EM11" s="24" t="inlineStr">
        <is>
          <t>O</t>
        </is>
      </c>
      <c r="EN11" s="24" t="inlineStr">
        <is>
          <t>O</t>
        </is>
      </c>
      <c r="EO11" s="24" t="inlineStr">
        <is>
          <t>O</t>
        </is>
      </c>
      <c r="EP11" s="24" t="inlineStr">
        <is>
          <t>O</t>
        </is>
      </c>
      <c r="EQ11" s="24" t="inlineStr">
        <is>
          <t>O</t>
        </is>
      </c>
      <c r="ER11" s="24" t="inlineStr">
        <is>
          <t>O</t>
        </is>
      </c>
      <c r="ES11" s="24" t="inlineStr">
        <is>
          <t>O</t>
        </is>
      </c>
      <c r="ET11" s="24" t="inlineStr">
        <is>
          <t>O</t>
        </is>
      </c>
      <c r="EU11" s="24" t="inlineStr">
        <is>
          <t>O</t>
        </is>
      </c>
      <c r="EV11" s="24" t="inlineStr">
        <is>
          <t>O</t>
        </is>
      </c>
      <c r="EW11" s="24" t="inlineStr">
        <is>
          <t>O</t>
        </is>
      </c>
      <c r="EX11" s="24" t="inlineStr">
        <is>
          <t>O</t>
        </is>
      </c>
      <c r="EY11" s="24" t="inlineStr">
        <is>
          <t>O</t>
        </is>
      </c>
      <c r="EZ11" s="24" t="inlineStr">
        <is>
          <t>O</t>
        </is>
      </c>
      <c r="FA11" s="24" t="inlineStr">
        <is>
          <t>O</t>
        </is>
      </c>
      <c r="FB11" s="24" t="inlineStr">
        <is>
          <t>O</t>
        </is>
      </c>
      <c r="FC11" s="24" t="inlineStr">
        <is>
          <t>O</t>
        </is>
      </c>
      <c r="FD11" s="24" t="inlineStr">
        <is>
          <t>O</t>
        </is>
      </c>
      <c r="FE11" s="24" t="inlineStr">
        <is>
          <t>O</t>
        </is>
      </c>
      <c r="FF11" s="24" t="inlineStr">
        <is>
          <t>O</t>
        </is>
      </c>
      <c r="FG11" s="24" t="inlineStr">
        <is>
          <t>O</t>
        </is>
      </c>
      <c r="FH11" s="24" t="inlineStr">
        <is>
          <t>O</t>
        </is>
      </c>
      <c r="FI11" s="24" t="inlineStr">
        <is>
          <t>O</t>
        </is>
      </c>
      <c r="FJ11" s="24" t="inlineStr">
        <is>
          <t>O</t>
        </is>
      </c>
      <c r="FK11" s="24" t="inlineStr">
        <is>
          <t>O</t>
        </is>
      </c>
      <c r="FL11" s="24" t="inlineStr">
        <is>
          <t>O</t>
        </is>
      </c>
      <c r="FM11" s="24" t="inlineStr">
        <is>
          <t>O</t>
        </is>
      </c>
      <c r="FN11" s="24" t="inlineStr">
        <is>
          <t>O</t>
        </is>
      </c>
      <c r="FO11" s="24" t="inlineStr">
        <is>
          <t>O</t>
        </is>
      </c>
      <c r="FP11" s="24" t="inlineStr">
        <is>
          <t>O</t>
        </is>
      </c>
      <c r="FQ11" s="24" t="inlineStr">
        <is>
          <t>O</t>
        </is>
      </c>
      <c r="FR11" s="24" t="inlineStr">
        <is>
          <t>O</t>
        </is>
      </c>
      <c r="FS11" s="24" t="inlineStr">
        <is>
          <t>O</t>
        </is>
      </c>
      <c r="FT11" s="24" t="inlineStr">
        <is>
          <t>O</t>
        </is>
      </c>
      <c r="FU11" s="24" t="inlineStr">
        <is>
          <t>O</t>
        </is>
      </c>
      <c r="FV11" s="24" t="inlineStr">
        <is>
          <t>O</t>
        </is>
      </c>
      <c r="FW11" s="24" t="inlineStr">
        <is>
          <t>O</t>
        </is>
      </c>
      <c r="FX11" s="24" t="inlineStr">
        <is>
          <t>O</t>
        </is>
      </c>
      <c r="FY11" s="24" t="inlineStr">
        <is>
          <t>O</t>
        </is>
      </c>
      <c r="FZ11" s="24" t="inlineStr">
        <is>
          <t>O</t>
        </is>
      </c>
      <c r="GA11" s="24" t="inlineStr">
        <is>
          <t>O</t>
        </is>
      </c>
      <c r="GB11" s="24" t="inlineStr">
        <is>
          <t>O</t>
        </is>
      </c>
      <c r="GC11" s="24" t="inlineStr">
        <is>
          <t>O</t>
        </is>
      </c>
      <c r="GD11" s="24" t="inlineStr">
        <is>
          <t>O</t>
        </is>
      </c>
      <c r="GE11" s="24" t="inlineStr">
        <is>
          <t>O</t>
        </is>
      </c>
      <c r="GF11" s="24" t="inlineStr">
        <is>
          <t>O</t>
        </is>
      </c>
      <c r="GG11" s="24" t="inlineStr">
        <is>
          <t>O</t>
        </is>
      </c>
      <c r="GH11" s="24" t="inlineStr">
        <is>
          <t>O</t>
        </is>
      </c>
      <c r="GI11" s="24" t="inlineStr">
        <is>
          <t>O</t>
        </is>
      </c>
      <c r="GJ11" s="24" t="inlineStr">
        <is>
          <t>O</t>
        </is>
      </c>
      <c r="GK11" s="24" t="inlineStr">
        <is>
          <t>O</t>
        </is>
      </c>
      <c r="GL11" s="24" t="inlineStr">
        <is>
          <t>O</t>
        </is>
      </c>
      <c r="GM11" s="24" t="inlineStr">
        <is>
          <t>O</t>
        </is>
      </c>
      <c r="GN11" s="24" t="inlineStr">
        <is>
          <t>O</t>
        </is>
      </c>
      <c r="GO11" s="24" t="inlineStr">
        <is>
          <t>O</t>
        </is>
      </c>
      <c r="GP11" s="24" t="inlineStr">
        <is>
          <t>O</t>
        </is>
      </c>
      <c r="GQ11" s="24" t="inlineStr">
        <is>
          <t>O</t>
        </is>
      </c>
      <c r="GR11" s="24" t="inlineStr">
        <is>
          <t>O</t>
        </is>
      </c>
      <c r="GS11" s="24" t="inlineStr">
        <is>
          <t>O</t>
        </is>
      </c>
      <c r="GT11" s="24" t="inlineStr">
        <is>
          <t>O</t>
        </is>
      </c>
      <c r="GU11" s="24" t="inlineStr">
        <is>
          <t>O</t>
        </is>
      </c>
      <c r="GV11" s="24" t="inlineStr">
        <is>
          <t>O</t>
        </is>
      </c>
      <c r="GW11" s="24" t="inlineStr">
        <is>
          <t>O</t>
        </is>
      </c>
      <c r="GX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n"/>
      <c r="GX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  <c r="GS13" s="4" t="n"/>
      <c r="GT13" s="4" t="n"/>
      <c r="GU13" s="4" t="n"/>
      <c r="GV13" s="4" t="n"/>
      <c r="GW13" s="4" t="n"/>
      <c r="GX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n"/>
      <c r="GX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  <c r="BD15" s="24" t="inlineStr">
        <is>
          <t>O</t>
        </is>
      </c>
      <c r="BE15" s="24" t="inlineStr">
        <is>
          <t>O</t>
        </is>
      </c>
      <c r="BF15" s="24" t="inlineStr">
        <is>
          <t>O</t>
        </is>
      </c>
      <c r="BG15" s="24" t="inlineStr">
        <is>
          <t>O</t>
        </is>
      </c>
      <c r="BH15" s="24" t="inlineStr">
        <is>
          <t>O</t>
        </is>
      </c>
      <c r="BI15" s="24" t="inlineStr">
        <is>
          <t>O</t>
        </is>
      </c>
      <c r="BJ15" s="24" t="inlineStr">
        <is>
          <t>O</t>
        </is>
      </c>
      <c r="BK15" s="24" t="inlineStr">
        <is>
          <t>O</t>
        </is>
      </c>
      <c r="BL15" s="24" t="inlineStr">
        <is>
          <t>O</t>
        </is>
      </c>
      <c r="BM15" s="24" t="inlineStr">
        <is>
          <t>O</t>
        </is>
      </c>
      <c r="BN15" s="24" t="inlineStr">
        <is>
          <t>O</t>
        </is>
      </c>
      <c r="BO15" s="24" t="inlineStr">
        <is>
          <t>O</t>
        </is>
      </c>
      <c r="BP15" s="24" t="inlineStr">
        <is>
          <t>O</t>
        </is>
      </c>
      <c r="BQ15" s="24" t="inlineStr">
        <is>
          <t>O</t>
        </is>
      </c>
      <c r="BR15" s="24" t="inlineStr">
        <is>
          <t>O</t>
        </is>
      </c>
      <c r="BS15" s="24" t="inlineStr">
        <is>
          <t>O</t>
        </is>
      </c>
      <c r="BT15" s="24" t="inlineStr">
        <is>
          <t>O</t>
        </is>
      </c>
      <c r="BU15" s="24" t="inlineStr">
        <is>
          <t>O</t>
        </is>
      </c>
      <c r="BV15" s="24" t="inlineStr">
        <is>
          <t>O</t>
        </is>
      </c>
      <c r="BW15" s="24" t="inlineStr">
        <is>
          <t>O</t>
        </is>
      </c>
      <c r="BX15" s="24" t="inlineStr">
        <is>
          <t>O</t>
        </is>
      </c>
      <c r="BY15" s="24" t="inlineStr">
        <is>
          <t>O</t>
        </is>
      </c>
      <c r="BZ15" s="24" t="inlineStr">
        <is>
          <t>O</t>
        </is>
      </c>
      <c r="CA15" s="24" t="inlineStr">
        <is>
          <t>O</t>
        </is>
      </c>
      <c r="CB15" s="24" t="inlineStr">
        <is>
          <t>O</t>
        </is>
      </c>
      <c r="CC15" s="24" t="inlineStr">
        <is>
          <t>O</t>
        </is>
      </c>
      <c r="CD15" s="24" t="inlineStr">
        <is>
          <t>O</t>
        </is>
      </c>
      <c r="CE15" s="24" t="inlineStr">
        <is>
          <t>O</t>
        </is>
      </c>
      <c r="CF15" s="24" t="inlineStr">
        <is>
          <t>O</t>
        </is>
      </c>
      <c r="CG15" s="24" t="inlineStr">
        <is>
          <t>O</t>
        </is>
      </c>
      <c r="CH15" s="24" t="inlineStr">
        <is>
          <t>O</t>
        </is>
      </c>
      <c r="CI15" s="24" t="inlineStr">
        <is>
          <t>O</t>
        </is>
      </c>
      <c r="CJ15" s="24" t="inlineStr">
        <is>
          <t>O</t>
        </is>
      </c>
      <c r="CK15" s="24" t="inlineStr">
        <is>
          <t>O</t>
        </is>
      </c>
      <c r="CL15" s="24" t="inlineStr">
        <is>
          <t>O</t>
        </is>
      </c>
      <c r="CM15" s="24" t="inlineStr">
        <is>
          <t>O</t>
        </is>
      </c>
      <c r="CN15" s="24" t="inlineStr">
        <is>
          <t>O</t>
        </is>
      </c>
      <c r="CO15" s="24" t="inlineStr">
        <is>
          <t>O</t>
        </is>
      </c>
      <c r="CP15" s="24" t="inlineStr">
        <is>
          <t>O</t>
        </is>
      </c>
      <c r="CQ15" s="24" t="inlineStr">
        <is>
          <t>O</t>
        </is>
      </c>
      <c r="CR15" s="24" t="inlineStr">
        <is>
          <t>O</t>
        </is>
      </c>
      <c r="CS15" s="24" t="inlineStr">
        <is>
          <t>O</t>
        </is>
      </c>
      <c r="CT15" s="24" t="inlineStr">
        <is>
          <t>O</t>
        </is>
      </c>
      <c r="CU15" s="24" t="inlineStr">
        <is>
          <t>O</t>
        </is>
      </c>
      <c r="CV15" s="24" t="inlineStr">
        <is>
          <t>O</t>
        </is>
      </c>
      <c r="CW15" s="24" t="inlineStr">
        <is>
          <t>O</t>
        </is>
      </c>
      <c r="CX15" s="24" t="inlineStr">
        <is>
          <t>O</t>
        </is>
      </c>
      <c r="CY15" s="24" t="inlineStr">
        <is>
          <t>O</t>
        </is>
      </c>
      <c r="CZ15" s="24" t="inlineStr">
        <is>
          <t>O</t>
        </is>
      </c>
      <c r="DA15" s="24" t="inlineStr">
        <is>
          <t>O</t>
        </is>
      </c>
      <c r="DB15" s="24" t="inlineStr">
        <is>
          <t>O</t>
        </is>
      </c>
      <c r="DC15" s="24" t="inlineStr">
        <is>
          <t>O</t>
        </is>
      </c>
      <c r="DD15" s="24" t="inlineStr">
        <is>
          <t>O</t>
        </is>
      </c>
      <c r="DE15" s="24" t="inlineStr">
        <is>
          <t>O</t>
        </is>
      </c>
      <c r="DF15" s="24" t="inlineStr">
        <is>
          <t>O</t>
        </is>
      </c>
      <c r="DG15" s="24" t="inlineStr">
        <is>
          <t>O</t>
        </is>
      </c>
      <c r="DH15" s="24" t="inlineStr">
        <is>
          <t>O</t>
        </is>
      </c>
      <c r="DI15" s="24" t="inlineStr">
        <is>
          <t>O</t>
        </is>
      </c>
      <c r="DJ15" s="24" t="inlineStr">
        <is>
          <t>O</t>
        </is>
      </c>
      <c r="DK15" s="24" t="inlineStr">
        <is>
          <t>O</t>
        </is>
      </c>
      <c r="DL15" s="24" t="inlineStr">
        <is>
          <t>O</t>
        </is>
      </c>
      <c r="DM15" s="24" t="inlineStr">
        <is>
          <t>O</t>
        </is>
      </c>
      <c r="DN15" s="24" t="inlineStr">
        <is>
          <t>O</t>
        </is>
      </c>
      <c r="DO15" s="24" t="inlineStr">
        <is>
          <t>O</t>
        </is>
      </c>
      <c r="DP15" s="24" t="inlineStr">
        <is>
          <t>O</t>
        </is>
      </c>
      <c r="DQ15" s="24" t="inlineStr">
        <is>
          <t>O</t>
        </is>
      </c>
      <c r="DR15" s="24" t="inlineStr">
        <is>
          <t>O</t>
        </is>
      </c>
      <c r="DS15" s="24" t="inlineStr">
        <is>
          <t>O</t>
        </is>
      </c>
      <c r="DT15" s="24" t="inlineStr">
        <is>
          <t>O</t>
        </is>
      </c>
      <c r="DU15" s="24" t="inlineStr">
        <is>
          <t>O</t>
        </is>
      </c>
      <c r="DV15" s="24" t="inlineStr">
        <is>
          <t>O</t>
        </is>
      </c>
      <c r="DW15" s="24" t="inlineStr">
        <is>
          <t>O</t>
        </is>
      </c>
      <c r="DX15" s="24" t="inlineStr">
        <is>
          <t>O</t>
        </is>
      </c>
      <c r="DY15" s="24" t="inlineStr">
        <is>
          <t>O</t>
        </is>
      </c>
      <c r="DZ15" s="24" t="inlineStr">
        <is>
          <t>O</t>
        </is>
      </c>
      <c r="EA15" s="24" t="inlineStr">
        <is>
          <t>O</t>
        </is>
      </c>
      <c r="EB15" s="24" t="inlineStr">
        <is>
          <t>O</t>
        </is>
      </c>
      <c r="EC15" s="24" t="inlineStr">
        <is>
          <t>O</t>
        </is>
      </c>
      <c r="ED15" s="24" t="inlineStr">
        <is>
          <t>O</t>
        </is>
      </c>
      <c r="EE15" s="24" t="inlineStr">
        <is>
          <t>O</t>
        </is>
      </c>
      <c r="EF15" s="24" t="inlineStr">
        <is>
          <t>O</t>
        </is>
      </c>
      <c r="EG15" s="24" t="inlineStr">
        <is>
          <t>O</t>
        </is>
      </c>
      <c r="EH15" s="24" t="inlineStr">
        <is>
          <t>O</t>
        </is>
      </c>
      <c r="EI15" s="24" t="inlineStr">
        <is>
          <t>O</t>
        </is>
      </c>
      <c r="EJ15" s="24" t="inlineStr">
        <is>
          <t>O</t>
        </is>
      </c>
      <c r="EK15" s="24" t="inlineStr">
        <is>
          <t>O</t>
        </is>
      </c>
      <c r="EL15" s="24" t="inlineStr">
        <is>
          <t>O</t>
        </is>
      </c>
      <c r="EM15" s="24" t="inlineStr">
        <is>
          <t>O</t>
        </is>
      </c>
      <c r="EN15" s="24" t="inlineStr">
        <is>
          <t>O</t>
        </is>
      </c>
      <c r="EO15" s="24" t="inlineStr">
        <is>
          <t>O</t>
        </is>
      </c>
      <c r="EP15" s="24" t="inlineStr">
        <is>
          <t>O</t>
        </is>
      </c>
      <c r="EQ15" s="24" t="inlineStr">
        <is>
          <t>O</t>
        </is>
      </c>
      <c r="ER15" s="24" t="inlineStr">
        <is>
          <t>O</t>
        </is>
      </c>
      <c r="ES15" s="24" t="inlineStr">
        <is>
          <t>O</t>
        </is>
      </c>
      <c r="ET15" s="24" t="inlineStr">
        <is>
          <t>O</t>
        </is>
      </c>
      <c r="EU15" s="24" t="inlineStr">
        <is>
          <t>O</t>
        </is>
      </c>
      <c r="EV15" s="24" t="inlineStr">
        <is>
          <t>O</t>
        </is>
      </c>
      <c r="EW15" s="24" t="inlineStr">
        <is>
          <t>O</t>
        </is>
      </c>
      <c r="EX15" s="24" t="inlineStr">
        <is>
          <t>O</t>
        </is>
      </c>
      <c r="EY15" s="24" t="inlineStr">
        <is>
          <t>O</t>
        </is>
      </c>
      <c r="EZ15" s="24" t="inlineStr">
        <is>
          <t>O</t>
        </is>
      </c>
      <c r="FA15" s="24" t="inlineStr">
        <is>
          <t>O</t>
        </is>
      </c>
      <c r="FB15" s="24" t="inlineStr">
        <is>
          <t>O</t>
        </is>
      </c>
      <c r="FC15" s="24" t="inlineStr">
        <is>
          <t>O</t>
        </is>
      </c>
      <c r="FD15" s="24" t="inlineStr">
        <is>
          <t>O</t>
        </is>
      </c>
      <c r="FE15" s="24" t="inlineStr">
        <is>
          <t>O</t>
        </is>
      </c>
      <c r="FF15" s="24" t="inlineStr">
        <is>
          <t>O</t>
        </is>
      </c>
      <c r="FG15" s="24" t="inlineStr">
        <is>
          <t>O</t>
        </is>
      </c>
      <c r="FH15" s="24" t="inlineStr">
        <is>
          <t>O</t>
        </is>
      </c>
      <c r="FI15" s="24" t="inlineStr">
        <is>
          <t>O</t>
        </is>
      </c>
      <c r="FJ15" s="24" t="inlineStr">
        <is>
          <t>O</t>
        </is>
      </c>
      <c r="FK15" s="24" t="inlineStr">
        <is>
          <t>O</t>
        </is>
      </c>
      <c r="FL15" s="24" t="inlineStr">
        <is>
          <t>O</t>
        </is>
      </c>
      <c r="FM15" s="24" t="inlineStr">
        <is>
          <t>O</t>
        </is>
      </c>
      <c r="FN15" s="24" t="inlineStr">
        <is>
          <t>O</t>
        </is>
      </c>
      <c r="FO15" s="24" t="inlineStr">
        <is>
          <t>O</t>
        </is>
      </c>
      <c r="FP15" s="24" t="inlineStr">
        <is>
          <t>O</t>
        </is>
      </c>
      <c r="FQ15" s="24" t="inlineStr">
        <is>
          <t>O</t>
        </is>
      </c>
      <c r="FR15" s="24" t="inlineStr">
        <is>
          <t>O</t>
        </is>
      </c>
      <c r="FS15" s="24" t="inlineStr">
        <is>
          <t>O</t>
        </is>
      </c>
      <c r="FT15" s="24" t="inlineStr">
        <is>
          <t>O</t>
        </is>
      </c>
      <c r="FU15" s="24" t="inlineStr">
        <is>
          <t>O</t>
        </is>
      </c>
      <c r="FV15" s="24" t="inlineStr">
        <is>
          <t>O</t>
        </is>
      </c>
      <c r="FW15" s="24" t="inlineStr">
        <is>
          <t>O</t>
        </is>
      </c>
      <c r="FX15" s="24" t="inlineStr">
        <is>
          <t>O</t>
        </is>
      </c>
      <c r="FY15" s="24" t="inlineStr">
        <is>
          <t>O</t>
        </is>
      </c>
      <c r="FZ15" s="24" t="inlineStr">
        <is>
          <t>O</t>
        </is>
      </c>
      <c r="GA15" s="24" t="inlineStr">
        <is>
          <t>O</t>
        </is>
      </c>
      <c r="GB15" s="24" t="inlineStr">
        <is>
          <t>O</t>
        </is>
      </c>
      <c r="GC15" s="24" t="inlineStr">
        <is>
          <t>O</t>
        </is>
      </c>
      <c r="GD15" s="24" t="inlineStr">
        <is>
          <t>O</t>
        </is>
      </c>
      <c r="GE15" s="24" t="inlineStr">
        <is>
          <t>O</t>
        </is>
      </c>
      <c r="GF15" s="24" t="inlineStr">
        <is>
          <t>O</t>
        </is>
      </c>
      <c r="GG15" s="24" t="inlineStr">
        <is>
          <t>O</t>
        </is>
      </c>
      <c r="GH15" s="24" t="inlineStr">
        <is>
          <t>O</t>
        </is>
      </c>
      <c r="GI15" s="24" t="inlineStr">
        <is>
          <t>O</t>
        </is>
      </c>
      <c r="GJ15" s="24" t="inlineStr">
        <is>
          <t>O</t>
        </is>
      </c>
      <c r="GK15" s="24" t="inlineStr">
        <is>
          <t>O</t>
        </is>
      </c>
      <c r="GL15" s="24" t="inlineStr">
        <is>
          <t>O</t>
        </is>
      </c>
      <c r="GM15" s="24" t="inlineStr">
        <is>
          <t>O</t>
        </is>
      </c>
      <c r="GN15" s="24" t="inlineStr">
        <is>
          <t>O</t>
        </is>
      </c>
      <c r="GO15" s="24" t="inlineStr">
        <is>
          <t>O</t>
        </is>
      </c>
      <c r="GP15" s="24" t="inlineStr">
        <is>
          <t>O</t>
        </is>
      </c>
      <c r="GQ15" s="24" t="inlineStr">
        <is>
          <t>O</t>
        </is>
      </c>
      <c r="GR15" s="24" t="inlineStr">
        <is>
          <t>O</t>
        </is>
      </c>
      <c r="GS15" s="24" t="inlineStr">
        <is>
          <t>O</t>
        </is>
      </c>
      <c r="GT15" s="24" t="inlineStr">
        <is>
          <t>O</t>
        </is>
      </c>
      <c r="GU15" s="24" t="inlineStr">
        <is>
          <t>O</t>
        </is>
      </c>
      <c r="GV15" s="24" t="inlineStr">
        <is>
          <t>O</t>
        </is>
      </c>
      <c r="GW15" s="24" t="inlineStr">
        <is>
          <t>O</t>
        </is>
      </c>
      <c r="GX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  <c r="GS16" s="4" t="n"/>
      <c r="GT16" s="4" t="n"/>
      <c r="GU16" s="4" t="n"/>
      <c r="GV16" s="4" t="n"/>
      <c r="GW16" s="4" t="n"/>
      <c r="GX16" s="4" t="n"/>
    </row>
    <row r="17">
      <c r="A17" s="16" t="n"/>
      <c r="B17" s="18" t="inlineStr">
        <is>
          <t>action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  <c r="GS17" s="4" t="n"/>
      <c r="GT17" s="4" t="n"/>
      <c r="GU17" s="4" t="n"/>
      <c r="GV17" s="4" t="n"/>
      <c r="GW17" s="4" t="n"/>
      <c r="GX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  <c r="BD18" s="24" t="inlineStr">
        <is>
          <t>O</t>
        </is>
      </c>
      <c r="BE18" s="24" t="inlineStr">
        <is>
          <t>O</t>
        </is>
      </c>
      <c r="BF18" s="24" t="inlineStr">
        <is>
          <t>O</t>
        </is>
      </c>
      <c r="BG18" s="24" t="inlineStr">
        <is>
          <t>O</t>
        </is>
      </c>
      <c r="BH18" s="24" t="inlineStr">
        <is>
          <t>O</t>
        </is>
      </c>
      <c r="BI18" s="24" t="inlineStr">
        <is>
          <t>O</t>
        </is>
      </c>
      <c r="BJ18" s="24" t="inlineStr">
        <is>
          <t>O</t>
        </is>
      </c>
      <c r="BK18" s="24" t="inlineStr">
        <is>
          <t>O</t>
        </is>
      </c>
      <c r="BL18" s="24" t="inlineStr">
        <is>
          <t>O</t>
        </is>
      </c>
      <c r="BM18" s="24" t="inlineStr">
        <is>
          <t>O</t>
        </is>
      </c>
      <c r="BN18" s="24" t="inlineStr">
        <is>
          <t>O</t>
        </is>
      </c>
      <c r="BO18" s="24" t="inlineStr">
        <is>
          <t>O</t>
        </is>
      </c>
      <c r="BP18" s="24" t="inlineStr">
        <is>
          <t>O</t>
        </is>
      </c>
      <c r="BQ18" s="24" t="inlineStr">
        <is>
          <t>O</t>
        </is>
      </c>
      <c r="BR18" s="24" t="inlineStr">
        <is>
          <t>O</t>
        </is>
      </c>
      <c r="BS18" s="24" t="inlineStr">
        <is>
          <t>O</t>
        </is>
      </c>
      <c r="BT18" s="24" t="inlineStr">
        <is>
          <t>O</t>
        </is>
      </c>
      <c r="BU18" s="24" t="inlineStr">
        <is>
          <t>O</t>
        </is>
      </c>
      <c r="BV18" s="24" t="inlineStr">
        <is>
          <t>O</t>
        </is>
      </c>
      <c r="BW18" s="24" t="inlineStr">
        <is>
          <t>O</t>
        </is>
      </c>
      <c r="BX18" s="24" t="inlineStr">
        <is>
          <t>O</t>
        </is>
      </c>
      <c r="BY18" s="24" t="inlineStr">
        <is>
          <t>O</t>
        </is>
      </c>
      <c r="BZ18" s="24" t="inlineStr">
        <is>
          <t>O</t>
        </is>
      </c>
      <c r="CA18" s="24" t="inlineStr">
        <is>
          <t>O</t>
        </is>
      </c>
      <c r="CB18" s="24" t="inlineStr">
        <is>
          <t>O</t>
        </is>
      </c>
      <c r="CC18" s="24" t="inlineStr">
        <is>
          <t>O</t>
        </is>
      </c>
      <c r="CD18" s="24" t="inlineStr">
        <is>
          <t>O</t>
        </is>
      </c>
      <c r="CE18" s="24" t="inlineStr">
        <is>
          <t>O</t>
        </is>
      </c>
      <c r="CF18" s="24" t="inlineStr">
        <is>
          <t>O</t>
        </is>
      </c>
      <c r="CG18" s="24" t="inlineStr">
        <is>
          <t>O</t>
        </is>
      </c>
      <c r="CH18" s="24" t="inlineStr">
        <is>
          <t>O</t>
        </is>
      </c>
      <c r="CI18" s="24" t="inlineStr">
        <is>
          <t>O</t>
        </is>
      </c>
      <c r="CJ18" s="24" t="inlineStr">
        <is>
          <t>O</t>
        </is>
      </c>
      <c r="CK18" s="24" t="inlineStr">
        <is>
          <t>O</t>
        </is>
      </c>
      <c r="CL18" s="24" t="inlineStr">
        <is>
          <t>O</t>
        </is>
      </c>
      <c r="CM18" s="24" t="inlineStr">
        <is>
          <t>O</t>
        </is>
      </c>
      <c r="CN18" s="24" t="inlineStr">
        <is>
          <t>O</t>
        </is>
      </c>
      <c r="CO18" s="24" t="inlineStr">
        <is>
          <t>O</t>
        </is>
      </c>
      <c r="CP18" s="24" t="inlineStr">
        <is>
          <t>O</t>
        </is>
      </c>
      <c r="CQ18" s="24" t="inlineStr">
        <is>
          <t>O</t>
        </is>
      </c>
      <c r="CR18" s="24" t="inlineStr">
        <is>
          <t>O</t>
        </is>
      </c>
      <c r="CS18" s="24" t="inlineStr">
        <is>
          <t>O</t>
        </is>
      </c>
      <c r="CT18" s="24" t="inlineStr">
        <is>
          <t>O</t>
        </is>
      </c>
      <c r="CU18" s="24" t="inlineStr">
        <is>
          <t>O</t>
        </is>
      </c>
      <c r="CV18" s="24" t="inlineStr">
        <is>
          <t>O</t>
        </is>
      </c>
      <c r="CW18" s="24" t="inlineStr">
        <is>
          <t>O</t>
        </is>
      </c>
      <c r="CX18" s="24" t="inlineStr">
        <is>
          <t>O</t>
        </is>
      </c>
      <c r="CY18" s="24" t="inlineStr">
        <is>
          <t>O</t>
        </is>
      </c>
      <c r="CZ18" s="24" t="inlineStr">
        <is>
          <t>O</t>
        </is>
      </c>
      <c r="DA18" s="24" t="inlineStr">
        <is>
          <t>O</t>
        </is>
      </c>
      <c r="DB18" s="24" t="inlineStr">
        <is>
          <t>O</t>
        </is>
      </c>
      <c r="DC18" s="24" t="inlineStr">
        <is>
          <t>O</t>
        </is>
      </c>
      <c r="DD18" s="24" t="inlineStr">
        <is>
          <t>O</t>
        </is>
      </c>
      <c r="DE18" s="24" t="inlineStr">
        <is>
          <t>O</t>
        </is>
      </c>
      <c r="DF18" s="24" t="inlineStr">
        <is>
          <t>O</t>
        </is>
      </c>
      <c r="DG18" s="24" t="inlineStr">
        <is>
          <t>O</t>
        </is>
      </c>
      <c r="DH18" s="24" t="inlineStr">
        <is>
          <t>O</t>
        </is>
      </c>
      <c r="DI18" s="24" t="inlineStr">
        <is>
          <t>O</t>
        </is>
      </c>
      <c r="DJ18" s="24" t="inlineStr">
        <is>
          <t>O</t>
        </is>
      </c>
      <c r="DK18" s="24" t="inlineStr">
        <is>
          <t>O</t>
        </is>
      </c>
      <c r="DL18" s="24" t="inlineStr">
        <is>
          <t>O</t>
        </is>
      </c>
      <c r="DM18" s="24" t="inlineStr">
        <is>
          <t>O</t>
        </is>
      </c>
      <c r="DN18" s="24" t="inlineStr">
        <is>
          <t>O</t>
        </is>
      </c>
      <c r="DO18" s="24" t="inlineStr">
        <is>
          <t>O</t>
        </is>
      </c>
      <c r="DP18" s="24" t="inlineStr">
        <is>
          <t>O</t>
        </is>
      </c>
      <c r="DQ18" s="24" t="inlineStr">
        <is>
          <t>O</t>
        </is>
      </c>
      <c r="DR18" s="24" t="inlineStr">
        <is>
          <t>O</t>
        </is>
      </c>
      <c r="DS18" s="24" t="inlineStr">
        <is>
          <t>O</t>
        </is>
      </c>
      <c r="DT18" s="24" t="inlineStr">
        <is>
          <t>O</t>
        </is>
      </c>
      <c r="DU18" s="24" t="inlineStr">
        <is>
          <t>O</t>
        </is>
      </c>
      <c r="DV18" s="24" t="inlineStr">
        <is>
          <t>O</t>
        </is>
      </c>
      <c r="DW18" s="24" t="inlineStr">
        <is>
          <t>O</t>
        </is>
      </c>
      <c r="DX18" s="24" t="inlineStr">
        <is>
          <t>O</t>
        </is>
      </c>
      <c r="DY18" s="24" t="inlineStr">
        <is>
          <t>O</t>
        </is>
      </c>
      <c r="DZ18" s="24" t="inlineStr">
        <is>
          <t>O</t>
        </is>
      </c>
      <c r="EA18" s="24" t="inlineStr">
        <is>
          <t>O</t>
        </is>
      </c>
      <c r="EB18" s="24" t="inlineStr">
        <is>
          <t>O</t>
        </is>
      </c>
      <c r="EC18" s="24" t="inlineStr">
        <is>
          <t>O</t>
        </is>
      </c>
      <c r="ED18" s="24" t="inlineStr">
        <is>
          <t>O</t>
        </is>
      </c>
      <c r="EE18" s="24" t="inlineStr">
        <is>
          <t>O</t>
        </is>
      </c>
      <c r="EF18" s="24" t="inlineStr">
        <is>
          <t>O</t>
        </is>
      </c>
      <c r="EG18" s="24" t="inlineStr">
        <is>
          <t>O</t>
        </is>
      </c>
      <c r="EH18" s="24" t="inlineStr">
        <is>
          <t>O</t>
        </is>
      </c>
      <c r="EI18" s="24" t="inlineStr">
        <is>
          <t>O</t>
        </is>
      </c>
      <c r="EJ18" s="24" t="inlineStr">
        <is>
          <t>O</t>
        </is>
      </c>
      <c r="EK18" s="24" t="inlineStr">
        <is>
          <t>O</t>
        </is>
      </c>
      <c r="EL18" s="24" t="inlineStr">
        <is>
          <t>O</t>
        </is>
      </c>
      <c r="EM18" s="24" t="inlineStr">
        <is>
          <t>O</t>
        </is>
      </c>
      <c r="EN18" s="24" t="inlineStr">
        <is>
          <t>O</t>
        </is>
      </c>
      <c r="EO18" s="24" t="inlineStr">
        <is>
          <t>O</t>
        </is>
      </c>
      <c r="EP18" s="24" t="inlineStr">
        <is>
          <t>O</t>
        </is>
      </c>
      <c r="EQ18" s="24" t="inlineStr">
        <is>
          <t>O</t>
        </is>
      </c>
      <c r="ER18" s="24" t="inlineStr">
        <is>
          <t>O</t>
        </is>
      </c>
      <c r="ES18" s="24" t="inlineStr">
        <is>
          <t>O</t>
        </is>
      </c>
      <c r="ET18" s="24" t="inlineStr">
        <is>
          <t>O</t>
        </is>
      </c>
      <c r="EU18" s="24" t="inlineStr">
        <is>
          <t>O</t>
        </is>
      </c>
      <c r="EV18" s="24" t="inlineStr">
        <is>
          <t>O</t>
        </is>
      </c>
      <c r="EW18" s="24" t="inlineStr">
        <is>
          <t>O</t>
        </is>
      </c>
      <c r="EX18" s="24" t="inlineStr">
        <is>
          <t>O</t>
        </is>
      </c>
      <c r="EY18" s="24" t="inlineStr">
        <is>
          <t>O</t>
        </is>
      </c>
      <c r="EZ18" s="24" t="inlineStr">
        <is>
          <t>O</t>
        </is>
      </c>
      <c r="FA18" s="24" t="inlineStr">
        <is>
          <t>O</t>
        </is>
      </c>
      <c r="FB18" s="24" t="inlineStr">
        <is>
          <t>O</t>
        </is>
      </c>
      <c r="FC18" s="24" t="inlineStr">
        <is>
          <t>O</t>
        </is>
      </c>
      <c r="FD18" s="24" t="inlineStr">
        <is>
          <t>O</t>
        </is>
      </c>
      <c r="FE18" s="24" t="inlineStr">
        <is>
          <t>O</t>
        </is>
      </c>
      <c r="FF18" s="24" t="inlineStr">
        <is>
          <t>O</t>
        </is>
      </c>
      <c r="FG18" s="24" t="inlineStr">
        <is>
          <t>O</t>
        </is>
      </c>
      <c r="FH18" s="24" t="inlineStr">
        <is>
          <t>O</t>
        </is>
      </c>
      <c r="FI18" s="24" t="inlineStr">
        <is>
          <t>O</t>
        </is>
      </c>
      <c r="FJ18" s="24" t="inlineStr">
        <is>
          <t>O</t>
        </is>
      </c>
      <c r="FK18" s="24" t="inlineStr">
        <is>
          <t>O</t>
        </is>
      </c>
      <c r="FL18" s="24" t="inlineStr">
        <is>
          <t>O</t>
        </is>
      </c>
      <c r="FM18" s="24" t="inlineStr">
        <is>
          <t>O</t>
        </is>
      </c>
      <c r="FN18" s="24" t="inlineStr">
        <is>
          <t>O</t>
        </is>
      </c>
      <c r="FO18" s="24" t="inlineStr">
        <is>
          <t>O</t>
        </is>
      </c>
      <c r="FP18" s="24" t="inlineStr">
        <is>
          <t>O</t>
        </is>
      </c>
      <c r="FQ18" s="24" t="inlineStr">
        <is>
          <t>O</t>
        </is>
      </c>
      <c r="FR18" s="24" t="inlineStr">
        <is>
          <t>O</t>
        </is>
      </c>
      <c r="FS18" s="24" t="inlineStr">
        <is>
          <t>O</t>
        </is>
      </c>
      <c r="FT18" s="24" t="inlineStr">
        <is>
          <t>O</t>
        </is>
      </c>
      <c r="FU18" s="24" t="inlineStr">
        <is>
          <t>O</t>
        </is>
      </c>
      <c r="FV18" s="24" t="inlineStr">
        <is>
          <t>O</t>
        </is>
      </c>
      <c r="FW18" s="24" t="inlineStr">
        <is>
          <t>O</t>
        </is>
      </c>
      <c r="FX18" s="24" t="inlineStr">
        <is>
          <t>O</t>
        </is>
      </c>
      <c r="FY18" s="24" t="inlineStr">
        <is>
          <t>O</t>
        </is>
      </c>
      <c r="FZ18" s="24" t="inlineStr">
        <is>
          <t>O</t>
        </is>
      </c>
      <c r="GA18" s="24" t="inlineStr">
        <is>
          <t>O</t>
        </is>
      </c>
      <c r="GB18" s="24" t="inlineStr">
        <is>
          <t>O</t>
        </is>
      </c>
      <c r="GC18" s="24" t="inlineStr">
        <is>
          <t>O</t>
        </is>
      </c>
      <c r="GD18" s="24" t="inlineStr">
        <is>
          <t>O</t>
        </is>
      </c>
      <c r="GE18" s="24" t="inlineStr">
        <is>
          <t>O</t>
        </is>
      </c>
      <c r="GF18" s="24" t="inlineStr">
        <is>
          <t>O</t>
        </is>
      </c>
      <c r="GG18" s="24" t="inlineStr">
        <is>
          <t>O</t>
        </is>
      </c>
      <c r="GH18" s="24" t="inlineStr">
        <is>
          <t>O</t>
        </is>
      </c>
      <c r="GI18" s="24" t="inlineStr">
        <is>
          <t>O</t>
        </is>
      </c>
      <c r="GJ18" s="24" t="inlineStr">
        <is>
          <t>O</t>
        </is>
      </c>
      <c r="GK18" s="24" t="inlineStr">
        <is>
          <t>O</t>
        </is>
      </c>
      <c r="GL18" s="24" t="inlineStr">
        <is>
          <t>O</t>
        </is>
      </c>
      <c r="GM18" s="24" t="inlineStr">
        <is>
          <t>O</t>
        </is>
      </c>
      <c r="GN18" s="24" t="inlineStr">
        <is>
          <t>O</t>
        </is>
      </c>
      <c r="GO18" s="24" t="inlineStr">
        <is>
          <t>O</t>
        </is>
      </c>
      <c r="GP18" s="24" t="inlineStr">
        <is>
          <t>O</t>
        </is>
      </c>
      <c r="GQ18" s="24" t="inlineStr">
        <is>
          <t>O</t>
        </is>
      </c>
      <c r="GR18" s="24" t="inlineStr">
        <is>
          <t>O</t>
        </is>
      </c>
      <c r="GS18" s="24" t="inlineStr">
        <is>
          <t>O</t>
        </is>
      </c>
      <c r="GT18" s="24" t="inlineStr">
        <is>
          <t>O</t>
        </is>
      </c>
      <c r="GU18" s="24" t="inlineStr">
        <is>
          <t>O</t>
        </is>
      </c>
      <c r="GV18" s="24" t="inlineStr">
        <is>
          <t>O</t>
        </is>
      </c>
      <c r="GW18" s="24" t="inlineStr">
        <is>
          <t>O</t>
        </is>
      </c>
      <c r="GX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4" t="n"/>
      <c r="GM19" s="4" t="n"/>
      <c r="GN19" s="4" t="n"/>
      <c r="GO19" s="4" t="n"/>
      <c r="GP19" s="4" t="n"/>
      <c r="GQ19" s="4" t="n"/>
      <c r="GR19" s="4" t="n"/>
      <c r="GS19" s="4" t="n"/>
      <c r="GT19" s="4" t="n"/>
      <c r="GU19" s="4" t="n"/>
      <c r="GV19" s="4" t="n"/>
      <c r="GW19" s="4" t="n"/>
      <c r="GX19" s="4" t="n"/>
    </row>
    <row r="20">
      <c r="A20" s="16" t="n"/>
      <c r="B20" s="18" t="inlineStr">
        <is>
          <t>suggestion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4" t="n"/>
      <c r="GM20" s="4" t="n"/>
      <c r="GN20" s="4" t="n"/>
      <c r="GO20" s="4" t="n"/>
      <c r="GP20" s="4" t="n"/>
      <c r="GQ20" s="4" t="n"/>
      <c r="GR20" s="4" t="n"/>
      <c r="GS20" s="4" t="n"/>
      <c r="GT20" s="4" t="n"/>
      <c r="GU20" s="4" t="n"/>
      <c r="GV20" s="4" t="n"/>
      <c r="GW20" s="4" t="n"/>
      <c r="GX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  <c r="BD21" s="24" t="inlineStr">
        <is>
          <t>O</t>
        </is>
      </c>
      <c r="BE21" s="24" t="inlineStr">
        <is>
          <t>O</t>
        </is>
      </c>
      <c r="BF21" s="24" t="inlineStr">
        <is>
          <t>O</t>
        </is>
      </c>
      <c r="BG21" s="24" t="inlineStr">
        <is>
          <t>O</t>
        </is>
      </c>
      <c r="BH21" s="24" t="inlineStr">
        <is>
          <t>O</t>
        </is>
      </c>
      <c r="BI21" s="24" t="inlineStr">
        <is>
          <t>O</t>
        </is>
      </c>
      <c r="BJ21" s="24" t="inlineStr">
        <is>
          <t>O</t>
        </is>
      </c>
      <c r="BK21" s="24" t="inlineStr">
        <is>
          <t>O</t>
        </is>
      </c>
      <c r="BL21" s="24" t="inlineStr">
        <is>
          <t>O</t>
        </is>
      </c>
      <c r="BM21" s="24" t="inlineStr">
        <is>
          <t>O</t>
        </is>
      </c>
      <c r="BN21" s="24" t="inlineStr">
        <is>
          <t>O</t>
        </is>
      </c>
      <c r="BO21" s="24" t="inlineStr">
        <is>
          <t>O</t>
        </is>
      </c>
      <c r="BP21" s="24" t="inlineStr">
        <is>
          <t>O</t>
        </is>
      </c>
      <c r="BQ21" s="24" t="inlineStr">
        <is>
          <t>O</t>
        </is>
      </c>
      <c r="BR21" s="24" t="inlineStr">
        <is>
          <t>O</t>
        </is>
      </c>
      <c r="BS21" s="24" t="inlineStr">
        <is>
          <t>O</t>
        </is>
      </c>
      <c r="BT21" s="24" t="inlineStr">
        <is>
          <t>O</t>
        </is>
      </c>
      <c r="BU21" s="24" t="inlineStr">
        <is>
          <t>O</t>
        </is>
      </c>
      <c r="BV21" s="24" t="inlineStr">
        <is>
          <t>O</t>
        </is>
      </c>
      <c r="BW21" s="24" t="inlineStr">
        <is>
          <t>O</t>
        </is>
      </c>
      <c r="BX21" s="24" t="inlineStr">
        <is>
          <t>O</t>
        </is>
      </c>
      <c r="BY21" s="24" t="inlineStr">
        <is>
          <t>O</t>
        </is>
      </c>
      <c r="BZ21" s="24" t="inlineStr">
        <is>
          <t>O</t>
        </is>
      </c>
      <c r="CA21" s="24" t="inlineStr">
        <is>
          <t>O</t>
        </is>
      </c>
      <c r="CB21" s="24" t="inlineStr">
        <is>
          <t>O</t>
        </is>
      </c>
      <c r="CC21" s="24" t="inlineStr">
        <is>
          <t>O</t>
        </is>
      </c>
      <c r="CD21" s="24" t="inlineStr">
        <is>
          <t>O</t>
        </is>
      </c>
      <c r="CE21" s="24" t="inlineStr">
        <is>
          <t>O</t>
        </is>
      </c>
      <c r="CF21" s="24" t="inlineStr">
        <is>
          <t>O</t>
        </is>
      </c>
      <c r="CG21" s="24" t="inlineStr">
        <is>
          <t>O</t>
        </is>
      </c>
      <c r="CH21" s="24" t="inlineStr">
        <is>
          <t>O</t>
        </is>
      </c>
      <c r="CI21" s="24" t="inlineStr">
        <is>
          <t>O</t>
        </is>
      </c>
      <c r="CJ21" s="24" t="inlineStr">
        <is>
          <t>O</t>
        </is>
      </c>
      <c r="CK21" s="24" t="inlineStr">
        <is>
          <t>O</t>
        </is>
      </c>
      <c r="CL21" s="24" t="inlineStr">
        <is>
          <t>O</t>
        </is>
      </c>
      <c r="CM21" s="24" t="inlineStr">
        <is>
          <t>O</t>
        </is>
      </c>
      <c r="CN21" s="24" t="inlineStr">
        <is>
          <t>O</t>
        </is>
      </c>
      <c r="CO21" s="24" t="inlineStr">
        <is>
          <t>O</t>
        </is>
      </c>
      <c r="CP21" s="24" t="inlineStr">
        <is>
          <t>O</t>
        </is>
      </c>
      <c r="CQ21" s="24" t="inlineStr">
        <is>
          <t>O</t>
        </is>
      </c>
      <c r="CR21" s="24" t="inlineStr">
        <is>
          <t>O</t>
        </is>
      </c>
      <c r="CS21" s="24" t="inlineStr">
        <is>
          <t>O</t>
        </is>
      </c>
      <c r="CT21" s="24" t="inlineStr">
        <is>
          <t>O</t>
        </is>
      </c>
      <c r="CU21" s="24" t="inlineStr">
        <is>
          <t>O</t>
        </is>
      </c>
      <c r="CV21" s="24" t="inlineStr">
        <is>
          <t>O</t>
        </is>
      </c>
      <c r="CW21" s="24" t="inlineStr">
        <is>
          <t>O</t>
        </is>
      </c>
      <c r="CX21" s="24" t="inlineStr">
        <is>
          <t>O</t>
        </is>
      </c>
      <c r="CY21" s="24" t="inlineStr">
        <is>
          <t>O</t>
        </is>
      </c>
      <c r="CZ21" s="24" t="inlineStr">
        <is>
          <t>O</t>
        </is>
      </c>
      <c r="DA21" s="24" t="inlineStr">
        <is>
          <t>O</t>
        </is>
      </c>
      <c r="DB21" s="24" t="inlineStr">
        <is>
          <t>O</t>
        </is>
      </c>
      <c r="DC21" s="24" t="inlineStr">
        <is>
          <t>O</t>
        </is>
      </c>
      <c r="DD21" s="24" t="inlineStr">
        <is>
          <t>O</t>
        </is>
      </c>
      <c r="DE21" s="24" t="inlineStr">
        <is>
          <t>O</t>
        </is>
      </c>
      <c r="DF21" s="24" t="inlineStr">
        <is>
          <t>O</t>
        </is>
      </c>
      <c r="DG21" s="24" t="inlineStr">
        <is>
          <t>O</t>
        </is>
      </c>
      <c r="DH21" s="24" t="inlineStr">
        <is>
          <t>O</t>
        </is>
      </c>
      <c r="DI21" s="24" t="inlineStr">
        <is>
          <t>O</t>
        </is>
      </c>
      <c r="DJ21" s="24" t="inlineStr">
        <is>
          <t>O</t>
        </is>
      </c>
      <c r="DK21" s="24" t="inlineStr">
        <is>
          <t>O</t>
        </is>
      </c>
      <c r="DL21" s="24" t="inlineStr">
        <is>
          <t>O</t>
        </is>
      </c>
      <c r="DM21" s="24" t="inlineStr">
        <is>
          <t>O</t>
        </is>
      </c>
      <c r="DN21" s="24" t="inlineStr">
        <is>
          <t>O</t>
        </is>
      </c>
      <c r="DO21" s="24" t="inlineStr">
        <is>
          <t>O</t>
        </is>
      </c>
      <c r="DP21" s="24" t="inlineStr">
        <is>
          <t>O</t>
        </is>
      </c>
      <c r="DQ21" s="24" t="inlineStr">
        <is>
          <t>O</t>
        </is>
      </c>
      <c r="DR21" s="24" t="inlineStr">
        <is>
          <t>O</t>
        </is>
      </c>
      <c r="DS21" s="24" t="inlineStr">
        <is>
          <t>O</t>
        </is>
      </c>
      <c r="DT21" s="24" t="inlineStr">
        <is>
          <t>O</t>
        </is>
      </c>
      <c r="DU21" s="24" t="inlineStr">
        <is>
          <t>O</t>
        </is>
      </c>
      <c r="DV21" s="24" t="inlineStr">
        <is>
          <t>O</t>
        </is>
      </c>
      <c r="DW21" s="24" t="inlineStr">
        <is>
          <t>O</t>
        </is>
      </c>
      <c r="DX21" s="24" t="inlineStr">
        <is>
          <t>O</t>
        </is>
      </c>
      <c r="DY21" s="24" t="inlineStr">
        <is>
          <t>O</t>
        </is>
      </c>
      <c r="DZ21" s="24" t="inlineStr">
        <is>
          <t>O</t>
        </is>
      </c>
      <c r="EA21" s="24" t="inlineStr">
        <is>
          <t>O</t>
        </is>
      </c>
      <c r="EB21" s="24" t="inlineStr">
        <is>
          <t>O</t>
        </is>
      </c>
      <c r="EC21" s="24" t="inlineStr">
        <is>
          <t>O</t>
        </is>
      </c>
      <c r="ED21" s="24" t="inlineStr">
        <is>
          <t>O</t>
        </is>
      </c>
      <c r="EE21" s="24" t="inlineStr">
        <is>
          <t>O</t>
        </is>
      </c>
      <c r="EF21" s="24" t="inlineStr">
        <is>
          <t>O</t>
        </is>
      </c>
      <c r="EG21" s="24" t="inlineStr">
        <is>
          <t>O</t>
        </is>
      </c>
      <c r="EH21" s="24" t="inlineStr">
        <is>
          <t>O</t>
        </is>
      </c>
      <c r="EI21" s="24" t="inlineStr">
        <is>
          <t>O</t>
        </is>
      </c>
      <c r="EJ21" s="24" t="inlineStr">
        <is>
          <t>O</t>
        </is>
      </c>
      <c r="EK21" s="24" t="inlineStr">
        <is>
          <t>O</t>
        </is>
      </c>
      <c r="EL21" s="24" t="inlineStr">
        <is>
          <t>O</t>
        </is>
      </c>
      <c r="EM21" s="24" t="inlineStr">
        <is>
          <t>O</t>
        </is>
      </c>
      <c r="EN21" s="24" t="inlineStr">
        <is>
          <t>O</t>
        </is>
      </c>
      <c r="EO21" s="24" t="inlineStr">
        <is>
          <t>O</t>
        </is>
      </c>
      <c r="EP21" s="24" t="inlineStr">
        <is>
          <t>O</t>
        </is>
      </c>
      <c r="EQ21" s="24" t="inlineStr">
        <is>
          <t>O</t>
        </is>
      </c>
      <c r="ER21" s="24" t="inlineStr">
        <is>
          <t>O</t>
        </is>
      </c>
      <c r="ES21" s="24" t="inlineStr">
        <is>
          <t>O</t>
        </is>
      </c>
      <c r="ET21" s="24" t="inlineStr">
        <is>
          <t>O</t>
        </is>
      </c>
      <c r="EU21" s="24" t="inlineStr">
        <is>
          <t>O</t>
        </is>
      </c>
      <c r="EV21" s="24" t="inlineStr">
        <is>
          <t>O</t>
        </is>
      </c>
      <c r="EW21" s="24" t="inlineStr">
        <is>
          <t>O</t>
        </is>
      </c>
      <c r="EX21" s="24" t="inlineStr">
        <is>
          <t>O</t>
        </is>
      </c>
      <c r="EY21" s="24" t="inlineStr">
        <is>
          <t>O</t>
        </is>
      </c>
      <c r="EZ21" s="24" t="inlineStr">
        <is>
          <t>O</t>
        </is>
      </c>
      <c r="FA21" s="24" t="inlineStr">
        <is>
          <t>O</t>
        </is>
      </c>
      <c r="FB21" s="24" t="inlineStr">
        <is>
          <t>O</t>
        </is>
      </c>
      <c r="FC21" s="24" t="inlineStr">
        <is>
          <t>O</t>
        </is>
      </c>
      <c r="FD21" s="24" t="inlineStr">
        <is>
          <t>O</t>
        </is>
      </c>
      <c r="FE21" s="24" t="inlineStr">
        <is>
          <t>O</t>
        </is>
      </c>
      <c r="FF21" s="24" t="inlineStr">
        <is>
          <t>O</t>
        </is>
      </c>
      <c r="FG21" s="24" t="inlineStr">
        <is>
          <t>O</t>
        </is>
      </c>
      <c r="FH21" s="24" t="inlineStr">
        <is>
          <t>O</t>
        </is>
      </c>
      <c r="FI21" s="24" t="inlineStr">
        <is>
          <t>O</t>
        </is>
      </c>
      <c r="FJ21" s="24" t="inlineStr">
        <is>
          <t>O</t>
        </is>
      </c>
      <c r="FK21" s="24" t="inlineStr">
        <is>
          <t>O</t>
        </is>
      </c>
      <c r="FL21" s="24" t="inlineStr">
        <is>
          <t>O</t>
        </is>
      </c>
      <c r="FM21" s="24" t="inlineStr">
        <is>
          <t>O</t>
        </is>
      </c>
      <c r="FN21" s="24" t="inlineStr">
        <is>
          <t>O</t>
        </is>
      </c>
      <c r="FO21" s="24" t="inlineStr">
        <is>
          <t>O</t>
        </is>
      </c>
      <c r="FP21" s="24" t="inlineStr">
        <is>
          <t>O</t>
        </is>
      </c>
      <c r="FQ21" s="24" t="inlineStr">
        <is>
          <t>O</t>
        </is>
      </c>
      <c r="FR21" s="24" t="inlineStr">
        <is>
          <t>O</t>
        </is>
      </c>
      <c r="FS21" s="24" t="inlineStr">
        <is>
          <t>O</t>
        </is>
      </c>
      <c r="FT21" s="24" t="inlineStr">
        <is>
          <t>O</t>
        </is>
      </c>
      <c r="FU21" s="24" t="inlineStr">
        <is>
          <t>O</t>
        </is>
      </c>
      <c r="FV21" s="24" t="inlineStr">
        <is>
          <t>O</t>
        </is>
      </c>
      <c r="FW21" s="24" t="inlineStr">
        <is>
          <t>O</t>
        </is>
      </c>
      <c r="FX21" s="24" t="inlineStr">
        <is>
          <t>O</t>
        </is>
      </c>
      <c r="FY21" s="24" t="inlineStr">
        <is>
          <t>O</t>
        </is>
      </c>
      <c r="FZ21" s="24" t="inlineStr">
        <is>
          <t>O</t>
        </is>
      </c>
      <c r="GA21" s="24" t="inlineStr">
        <is>
          <t>O</t>
        </is>
      </c>
      <c r="GB21" s="24" t="inlineStr">
        <is>
          <t>O</t>
        </is>
      </c>
      <c r="GC21" s="24" t="inlineStr">
        <is>
          <t>O</t>
        </is>
      </c>
      <c r="GD21" s="24" t="inlineStr">
        <is>
          <t>O</t>
        </is>
      </c>
      <c r="GE21" s="24" t="inlineStr">
        <is>
          <t>O</t>
        </is>
      </c>
      <c r="GF21" s="24" t="inlineStr">
        <is>
          <t>O</t>
        </is>
      </c>
      <c r="GG21" s="24" t="inlineStr">
        <is>
          <t>O</t>
        </is>
      </c>
      <c r="GH21" s="24" t="inlineStr">
        <is>
          <t>O</t>
        </is>
      </c>
      <c r="GI21" s="24" t="inlineStr">
        <is>
          <t>O</t>
        </is>
      </c>
      <c r="GJ21" s="24" t="inlineStr">
        <is>
          <t>O</t>
        </is>
      </c>
      <c r="GK21" s="24" t="inlineStr">
        <is>
          <t>O</t>
        </is>
      </c>
      <c r="GL21" s="24" t="inlineStr">
        <is>
          <t>O</t>
        </is>
      </c>
      <c r="GM21" s="24" t="inlineStr">
        <is>
          <t>O</t>
        </is>
      </c>
      <c r="GN21" s="24" t="inlineStr">
        <is>
          <t>O</t>
        </is>
      </c>
      <c r="GO21" s="24" t="inlineStr">
        <is>
          <t>O</t>
        </is>
      </c>
      <c r="GP21" s="24" t="inlineStr">
        <is>
          <t>O</t>
        </is>
      </c>
      <c r="GQ21" s="24" t="inlineStr">
        <is>
          <t>O</t>
        </is>
      </c>
      <c r="GR21" s="24" t="inlineStr">
        <is>
          <t>O</t>
        </is>
      </c>
      <c r="GS21" s="24" t="inlineStr">
        <is>
          <t>O</t>
        </is>
      </c>
      <c r="GT21" s="24" t="inlineStr">
        <is>
          <t>O</t>
        </is>
      </c>
      <c r="GU21" s="24" t="inlineStr">
        <is>
          <t>O</t>
        </is>
      </c>
      <c r="GV21" s="24" t="inlineStr">
        <is>
          <t>O</t>
        </is>
      </c>
      <c r="GW21" s="24" t="inlineStr">
        <is>
          <t>O</t>
        </is>
      </c>
      <c r="GX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4" t="n"/>
      <c r="GM22" s="4" t="n"/>
      <c r="GN22" s="4" t="n"/>
      <c r="GO22" s="4" t="n"/>
      <c r="GP22" s="4" t="n"/>
      <c r="GQ22" s="4" t="n"/>
      <c r="GR22" s="4" t="n"/>
      <c r="GS22" s="4" t="n"/>
      <c r="GT22" s="4" t="n"/>
      <c r="GU22" s="4" t="n"/>
      <c r="GV22" s="4" t="n"/>
      <c r="GW22" s="4" t="n"/>
      <c r="GX22" s="4" t="n"/>
    </row>
    <row r="23">
      <c r="A23" s="16" t="n"/>
      <c r="B23" s="18" t="inlineStr">
        <is>
          <t>actorId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4" t="n"/>
      <c r="GM23" s="4" t="n"/>
      <c r="GN23" s="4" t="n"/>
      <c r="GO23" s="4" t="n"/>
      <c r="GP23" s="4" t="n"/>
      <c r="GQ23" s="4" t="n"/>
      <c r="GR23" s="4" t="n"/>
      <c r="GS23" s="4" t="n"/>
      <c r="GT23" s="4" t="n"/>
      <c r="GU23" s="4" t="n"/>
      <c r="GV23" s="4" t="n"/>
      <c r="GW23" s="4" t="n"/>
      <c r="GX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  <c r="AY24" s="24" t="inlineStr">
        <is>
          <t>O</t>
        </is>
      </c>
      <c r="AZ24" s="24" t="inlineStr">
        <is>
          <t>O</t>
        </is>
      </c>
      <c r="BA24" s="24" t="inlineStr">
        <is>
          <t>O</t>
        </is>
      </c>
      <c r="BB24" s="24" t="inlineStr">
        <is>
          <t>O</t>
        </is>
      </c>
      <c r="BC24" s="24" t="inlineStr">
        <is>
          <t>O</t>
        </is>
      </c>
      <c r="BD24" s="24" t="inlineStr">
        <is>
          <t>O</t>
        </is>
      </c>
      <c r="BE24" s="24" t="inlineStr">
        <is>
          <t>O</t>
        </is>
      </c>
      <c r="BF24" s="24" t="inlineStr">
        <is>
          <t>O</t>
        </is>
      </c>
      <c r="BG24" s="24" t="inlineStr">
        <is>
          <t>O</t>
        </is>
      </c>
      <c r="BH24" s="24" t="inlineStr">
        <is>
          <t>O</t>
        </is>
      </c>
      <c r="BI24" s="24" t="inlineStr">
        <is>
          <t>O</t>
        </is>
      </c>
      <c r="BJ24" s="24" t="inlineStr">
        <is>
          <t>O</t>
        </is>
      </c>
      <c r="BK24" s="24" t="inlineStr">
        <is>
          <t>O</t>
        </is>
      </c>
      <c r="BL24" s="24" t="inlineStr">
        <is>
          <t>O</t>
        </is>
      </c>
      <c r="BM24" s="24" t="inlineStr">
        <is>
          <t>O</t>
        </is>
      </c>
      <c r="BN24" s="24" t="inlineStr">
        <is>
          <t>O</t>
        </is>
      </c>
      <c r="BO24" s="24" t="inlineStr">
        <is>
          <t>O</t>
        </is>
      </c>
      <c r="BP24" s="24" t="inlineStr">
        <is>
          <t>O</t>
        </is>
      </c>
      <c r="BQ24" s="24" t="inlineStr">
        <is>
          <t>O</t>
        </is>
      </c>
      <c r="BR24" s="24" t="inlineStr">
        <is>
          <t>O</t>
        </is>
      </c>
      <c r="BS24" s="24" t="inlineStr">
        <is>
          <t>O</t>
        </is>
      </c>
      <c r="BT24" s="24" t="inlineStr">
        <is>
          <t>O</t>
        </is>
      </c>
      <c r="BU24" s="24" t="inlineStr">
        <is>
          <t>O</t>
        </is>
      </c>
      <c r="BV24" s="24" t="inlineStr">
        <is>
          <t>O</t>
        </is>
      </c>
      <c r="BW24" s="24" t="inlineStr">
        <is>
          <t>O</t>
        </is>
      </c>
      <c r="BX24" s="24" t="inlineStr">
        <is>
          <t>O</t>
        </is>
      </c>
      <c r="BY24" s="24" t="inlineStr">
        <is>
          <t>O</t>
        </is>
      </c>
      <c r="BZ24" s="24" t="inlineStr">
        <is>
          <t>O</t>
        </is>
      </c>
      <c r="CA24" s="24" t="inlineStr">
        <is>
          <t>O</t>
        </is>
      </c>
      <c r="CB24" s="24" t="inlineStr">
        <is>
          <t>O</t>
        </is>
      </c>
      <c r="CC24" s="24" t="inlineStr">
        <is>
          <t>O</t>
        </is>
      </c>
      <c r="CD24" s="24" t="inlineStr">
        <is>
          <t>O</t>
        </is>
      </c>
      <c r="CE24" s="24" t="inlineStr">
        <is>
          <t>O</t>
        </is>
      </c>
      <c r="CF24" s="24" t="inlineStr">
        <is>
          <t>O</t>
        </is>
      </c>
      <c r="CG24" s="24" t="inlineStr">
        <is>
          <t>O</t>
        </is>
      </c>
      <c r="CH24" s="24" t="inlineStr">
        <is>
          <t>O</t>
        </is>
      </c>
      <c r="CI24" s="24" t="inlineStr">
        <is>
          <t>O</t>
        </is>
      </c>
      <c r="CJ24" s="24" t="inlineStr">
        <is>
          <t>O</t>
        </is>
      </c>
      <c r="CK24" s="24" t="inlineStr">
        <is>
          <t>O</t>
        </is>
      </c>
      <c r="CL24" s="24" t="inlineStr">
        <is>
          <t>O</t>
        </is>
      </c>
      <c r="CM24" s="24" t="inlineStr">
        <is>
          <t>O</t>
        </is>
      </c>
      <c r="CN24" s="24" t="inlineStr">
        <is>
          <t>O</t>
        </is>
      </c>
      <c r="CO24" s="24" t="inlineStr">
        <is>
          <t>O</t>
        </is>
      </c>
      <c r="CP24" s="24" t="inlineStr">
        <is>
          <t>O</t>
        </is>
      </c>
      <c r="CQ24" s="24" t="inlineStr">
        <is>
          <t>O</t>
        </is>
      </c>
      <c r="CR24" s="24" t="inlineStr">
        <is>
          <t>O</t>
        </is>
      </c>
      <c r="CS24" s="24" t="inlineStr">
        <is>
          <t>O</t>
        </is>
      </c>
      <c r="CT24" s="24" t="inlineStr">
        <is>
          <t>O</t>
        </is>
      </c>
      <c r="CU24" s="24" t="inlineStr">
        <is>
          <t>O</t>
        </is>
      </c>
      <c r="CV24" s="24" t="inlineStr">
        <is>
          <t>O</t>
        </is>
      </c>
      <c r="CW24" s="24" t="inlineStr">
        <is>
          <t>O</t>
        </is>
      </c>
      <c r="CX24" s="24" t="inlineStr">
        <is>
          <t>O</t>
        </is>
      </c>
      <c r="CY24" s="24" t="inlineStr">
        <is>
          <t>O</t>
        </is>
      </c>
      <c r="CZ24" s="24" t="inlineStr">
        <is>
          <t>O</t>
        </is>
      </c>
      <c r="DA24" s="24" t="inlineStr">
        <is>
          <t>O</t>
        </is>
      </c>
      <c r="DB24" s="24" t="inlineStr">
        <is>
          <t>O</t>
        </is>
      </c>
      <c r="DC24" s="24" t="inlineStr">
        <is>
          <t>O</t>
        </is>
      </c>
      <c r="DD24" s="24" t="inlineStr">
        <is>
          <t>O</t>
        </is>
      </c>
      <c r="DE24" s="24" t="inlineStr">
        <is>
          <t>O</t>
        </is>
      </c>
      <c r="DF24" s="24" t="inlineStr">
        <is>
          <t>O</t>
        </is>
      </c>
      <c r="DG24" s="24" t="inlineStr">
        <is>
          <t>O</t>
        </is>
      </c>
      <c r="DH24" s="24" t="inlineStr">
        <is>
          <t>O</t>
        </is>
      </c>
      <c r="DI24" s="24" t="inlineStr">
        <is>
          <t>O</t>
        </is>
      </c>
      <c r="DJ24" s="24" t="inlineStr">
        <is>
          <t>O</t>
        </is>
      </c>
      <c r="DK24" s="24" t="inlineStr">
        <is>
          <t>O</t>
        </is>
      </c>
      <c r="DL24" s="24" t="inlineStr">
        <is>
          <t>O</t>
        </is>
      </c>
      <c r="DM24" s="24" t="inlineStr">
        <is>
          <t>O</t>
        </is>
      </c>
      <c r="DN24" s="24" t="inlineStr">
        <is>
          <t>O</t>
        </is>
      </c>
      <c r="DO24" s="24" t="inlineStr">
        <is>
          <t>O</t>
        </is>
      </c>
      <c r="DP24" s="24" t="inlineStr">
        <is>
          <t>O</t>
        </is>
      </c>
      <c r="DQ24" s="24" t="inlineStr">
        <is>
          <t>O</t>
        </is>
      </c>
      <c r="DR24" s="24" t="inlineStr">
        <is>
          <t>O</t>
        </is>
      </c>
      <c r="DS24" s="24" t="inlineStr">
        <is>
          <t>O</t>
        </is>
      </c>
      <c r="DT24" s="24" t="inlineStr">
        <is>
          <t>O</t>
        </is>
      </c>
      <c r="DU24" s="24" t="inlineStr">
        <is>
          <t>O</t>
        </is>
      </c>
      <c r="DV24" s="24" t="inlineStr">
        <is>
          <t>O</t>
        </is>
      </c>
      <c r="DW24" s="24" t="inlineStr">
        <is>
          <t>O</t>
        </is>
      </c>
      <c r="DX24" s="24" t="inlineStr">
        <is>
          <t>O</t>
        </is>
      </c>
      <c r="DY24" s="24" t="inlineStr">
        <is>
          <t>O</t>
        </is>
      </c>
      <c r="DZ24" s="24" t="inlineStr">
        <is>
          <t>O</t>
        </is>
      </c>
      <c r="EA24" s="24" t="inlineStr">
        <is>
          <t>O</t>
        </is>
      </c>
      <c r="EB24" s="24" t="inlineStr">
        <is>
          <t>O</t>
        </is>
      </c>
      <c r="EC24" s="24" t="inlineStr">
        <is>
          <t>O</t>
        </is>
      </c>
      <c r="ED24" s="24" t="inlineStr">
        <is>
          <t>O</t>
        </is>
      </c>
      <c r="EE24" s="24" t="inlineStr">
        <is>
          <t>O</t>
        </is>
      </c>
      <c r="EF24" s="24" t="inlineStr">
        <is>
          <t>O</t>
        </is>
      </c>
      <c r="EG24" s="24" t="inlineStr">
        <is>
          <t>O</t>
        </is>
      </c>
      <c r="EH24" s="24" t="inlineStr">
        <is>
          <t>O</t>
        </is>
      </c>
      <c r="EI24" s="24" t="inlineStr">
        <is>
          <t>O</t>
        </is>
      </c>
      <c r="EJ24" s="24" t="inlineStr">
        <is>
          <t>O</t>
        </is>
      </c>
      <c r="EK24" s="24" t="inlineStr">
        <is>
          <t>O</t>
        </is>
      </c>
      <c r="EL24" s="24" t="inlineStr">
        <is>
          <t>O</t>
        </is>
      </c>
      <c r="EM24" s="24" t="inlineStr">
        <is>
          <t>O</t>
        </is>
      </c>
      <c r="EN24" s="24" t="inlineStr">
        <is>
          <t>O</t>
        </is>
      </c>
      <c r="EO24" s="24" t="inlineStr">
        <is>
          <t>O</t>
        </is>
      </c>
      <c r="EP24" s="24" t="inlineStr">
        <is>
          <t>O</t>
        </is>
      </c>
      <c r="EQ24" s="24" t="inlineStr">
        <is>
          <t>O</t>
        </is>
      </c>
      <c r="ER24" s="24" t="inlineStr">
        <is>
          <t>O</t>
        </is>
      </c>
      <c r="ES24" s="24" t="inlineStr">
        <is>
          <t>O</t>
        </is>
      </c>
      <c r="ET24" s="24" t="inlineStr">
        <is>
          <t>O</t>
        </is>
      </c>
      <c r="EU24" s="24" t="inlineStr">
        <is>
          <t>O</t>
        </is>
      </c>
      <c r="EV24" s="24" t="inlineStr">
        <is>
          <t>O</t>
        </is>
      </c>
      <c r="EW24" s="24" t="inlineStr">
        <is>
          <t>O</t>
        </is>
      </c>
      <c r="EX24" s="24" t="inlineStr">
        <is>
          <t>O</t>
        </is>
      </c>
      <c r="EY24" s="24" t="inlineStr">
        <is>
          <t>O</t>
        </is>
      </c>
      <c r="EZ24" s="24" t="inlineStr">
        <is>
          <t>O</t>
        </is>
      </c>
      <c r="FA24" s="24" t="inlineStr">
        <is>
          <t>O</t>
        </is>
      </c>
      <c r="FB24" s="24" t="inlineStr">
        <is>
          <t>O</t>
        </is>
      </c>
      <c r="FC24" s="24" t="inlineStr">
        <is>
          <t>O</t>
        </is>
      </c>
      <c r="FD24" s="24" t="inlineStr">
        <is>
          <t>O</t>
        </is>
      </c>
      <c r="FE24" s="24" t="inlineStr">
        <is>
          <t>O</t>
        </is>
      </c>
      <c r="FF24" s="24" t="inlineStr">
        <is>
          <t>O</t>
        </is>
      </c>
      <c r="FG24" s="24" t="inlineStr">
        <is>
          <t>O</t>
        </is>
      </c>
      <c r="FH24" s="24" t="inlineStr">
        <is>
          <t>O</t>
        </is>
      </c>
      <c r="FI24" s="24" t="inlineStr">
        <is>
          <t>O</t>
        </is>
      </c>
      <c r="FJ24" s="24" t="inlineStr">
        <is>
          <t>O</t>
        </is>
      </c>
      <c r="FK24" s="24" t="inlineStr">
        <is>
          <t>O</t>
        </is>
      </c>
      <c r="FL24" s="24" t="inlineStr">
        <is>
          <t>O</t>
        </is>
      </c>
      <c r="FM24" s="24" t="inlineStr">
        <is>
          <t>O</t>
        </is>
      </c>
      <c r="FN24" s="24" t="inlineStr">
        <is>
          <t>O</t>
        </is>
      </c>
      <c r="FO24" s="24" t="inlineStr">
        <is>
          <t>O</t>
        </is>
      </c>
      <c r="FP24" s="24" t="inlineStr">
        <is>
          <t>O</t>
        </is>
      </c>
      <c r="FQ24" s="24" t="inlineStr">
        <is>
          <t>O</t>
        </is>
      </c>
      <c r="FR24" s="24" t="inlineStr">
        <is>
          <t>O</t>
        </is>
      </c>
      <c r="FS24" s="24" t="inlineStr">
        <is>
          <t>O</t>
        </is>
      </c>
      <c r="FT24" s="24" t="inlineStr">
        <is>
          <t>O</t>
        </is>
      </c>
      <c r="FU24" s="24" t="inlineStr">
        <is>
          <t>O</t>
        </is>
      </c>
      <c r="FV24" s="24" t="inlineStr">
        <is>
          <t>O</t>
        </is>
      </c>
      <c r="FW24" s="24" t="inlineStr">
        <is>
          <t>O</t>
        </is>
      </c>
      <c r="FX24" s="24" t="inlineStr">
        <is>
          <t>O</t>
        </is>
      </c>
      <c r="FY24" s="24" t="inlineStr">
        <is>
          <t>O</t>
        </is>
      </c>
      <c r="FZ24" s="24" t="inlineStr">
        <is>
          <t>O</t>
        </is>
      </c>
      <c r="GA24" s="24" t="inlineStr">
        <is>
          <t>O</t>
        </is>
      </c>
      <c r="GB24" s="24" t="inlineStr">
        <is>
          <t>O</t>
        </is>
      </c>
      <c r="GC24" s="24" t="inlineStr">
        <is>
          <t>O</t>
        </is>
      </c>
      <c r="GD24" s="24" t="inlineStr">
        <is>
          <t>O</t>
        </is>
      </c>
      <c r="GE24" s="24" t="inlineStr">
        <is>
          <t>O</t>
        </is>
      </c>
      <c r="GF24" s="24" t="inlineStr">
        <is>
          <t>O</t>
        </is>
      </c>
      <c r="GG24" s="24" t="inlineStr">
        <is>
          <t>O</t>
        </is>
      </c>
      <c r="GH24" s="24" t="inlineStr">
        <is>
          <t>O</t>
        </is>
      </c>
      <c r="GI24" s="24" t="inlineStr">
        <is>
          <t>O</t>
        </is>
      </c>
      <c r="GJ24" s="24" t="inlineStr">
        <is>
          <t>O</t>
        </is>
      </c>
      <c r="GK24" s="24" t="inlineStr">
        <is>
          <t>O</t>
        </is>
      </c>
      <c r="GL24" s="24" t="inlineStr">
        <is>
          <t>O</t>
        </is>
      </c>
      <c r="GM24" s="24" t="inlineStr">
        <is>
          <t>O</t>
        </is>
      </c>
      <c r="GN24" s="24" t="inlineStr">
        <is>
          <t>O</t>
        </is>
      </c>
      <c r="GO24" s="24" t="inlineStr">
        <is>
          <t>O</t>
        </is>
      </c>
      <c r="GP24" s="24" t="inlineStr">
        <is>
          <t>O</t>
        </is>
      </c>
      <c r="GQ24" s="24" t="inlineStr">
        <is>
          <t>O</t>
        </is>
      </c>
      <c r="GR24" s="24" t="inlineStr">
        <is>
          <t>O</t>
        </is>
      </c>
      <c r="GS24" s="24" t="inlineStr">
        <is>
          <t>O</t>
        </is>
      </c>
      <c r="GT24" s="24" t="inlineStr">
        <is>
          <t>O</t>
        </is>
      </c>
      <c r="GU24" s="24" t="inlineStr">
        <is>
          <t>O</t>
        </is>
      </c>
      <c r="GV24" s="24" t="inlineStr">
        <is>
          <t>O</t>
        </is>
      </c>
      <c r="GW24" s="24" t="inlineStr">
        <is>
          <t>O</t>
        </is>
      </c>
      <c r="GX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4" t="n"/>
      <c r="GM25" s="4" t="n"/>
      <c r="GN25" s="4" t="n"/>
      <c r="GO25" s="4" t="n"/>
      <c r="GP25" s="4" t="n"/>
      <c r="GQ25" s="4" t="n"/>
      <c r="GR25" s="4" t="n"/>
      <c r="GS25" s="4" t="n"/>
      <c r="GT25" s="4" t="n"/>
      <c r="GU25" s="4" t="n"/>
      <c r="GV25" s="4" t="n"/>
      <c r="GW25" s="4" t="n"/>
      <c r="GX25" s="4" t="n"/>
    </row>
    <row r="26">
      <c r="A26" s="16" t="n"/>
      <c r="B26" s="18" t="inlineStr">
        <is>
          <t>confirmSimilar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4" t="n"/>
      <c r="GM26" s="4" t="n"/>
      <c r="GN26" s="4" t="n"/>
      <c r="GO26" s="4" t="n"/>
      <c r="GP26" s="4" t="n"/>
      <c r="GQ26" s="4" t="n"/>
      <c r="GR26" s="4" t="n"/>
      <c r="GS26" s="4" t="n"/>
      <c r="GT26" s="4" t="n"/>
      <c r="GU26" s="4" t="n"/>
      <c r="GV26" s="4" t="n"/>
      <c r="GW26" s="4" t="n"/>
      <c r="GX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  <c r="AK27" s="24" t="inlineStr">
        <is>
          <t>O</t>
        </is>
      </c>
      <c r="AL27" s="24" t="inlineStr">
        <is>
          <t>O</t>
        </is>
      </c>
      <c r="AM27" s="24" t="inlineStr">
        <is>
          <t>O</t>
        </is>
      </c>
      <c r="AN27" s="24" t="inlineStr">
        <is>
          <t>O</t>
        </is>
      </c>
      <c r="AO27" s="24" t="inlineStr">
        <is>
          <t>O</t>
        </is>
      </c>
      <c r="AP27" s="24" t="inlineStr">
        <is>
          <t>O</t>
        </is>
      </c>
      <c r="AQ27" s="24" t="inlineStr">
        <is>
          <t>O</t>
        </is>
      </c>
      <c r="AR27" s="24" t="inlineStr">
        <is>
          <t>O</t>
        </is>
      </c>
      <c r="AS27" s="24" t="inlineStr">
        <is>
          <t>O</t>
        </is>
      </c>
      <c r="AT27" s="24" t="inlineStr">
        <is>
          <t>O</t>
        </is>
      </c>
      <c r="AU27" s="24" t="inlineStr">
        <is>
          <t>O</t>
        </is>
      </c>
      <c r="AV27" s="24" t="inlineStr">
        <is>
          <t>O</t>
        </is>
      </c>
      <c r="AW27" s="24" t="inlineStr">
        <is>
          <t>O</t>
        </is>
      </c>
      <c r="AX27" s="24" t="inlineStr">
        <is>
          <t>O</t>
        </is>
      </c>
      <c r="AY27" s="24" t="inlineStr">
        <is>
          <t>O</t>
        </is>
      </c>
      <c r="AZ27" s="24" t="inlineStr">
        <is>
          <t>O</t>
        </is>
      </c>
      <c r="BA27" s="24" t="inlineStr">
        <is>
          <t>O</t>
        </is>
      </c>
      <c r="BB27" s="24" t="inlineStr">
        <is>
          <t>O</t>
        </is>
      </c>
      <c r="BC27" s="24" t="inlineStr">
        <is>
          <t>O</t>
        </is>
      </c>
      <c r="BD27" s="24" t="inlineStr">
        <is>
          <t>O</t>
        </is>
      </c>
      <c r="BE27" s="24" t="inlineStr">
        <is>
          <t>O</t>
        </is>
      </c>
      <c r="BF27" s="24" t="inlineStr">
        <is>
          <t>O</t>
        </is>
      </c>
      <c r="BG27" s="24" t="inlineStr">
        <is>
          <t>O</t>
        </is>
      </c>
      <c r="BH27" s="24" t="inlineStr">
        <is>
          <t>O</t>
        </is>
      </c>
      <c r="BI27" s="24" t="inlineStr">
        <is>
          <t>O</t>
        </is>
      </c>
      <c r="BJ27" s="24" t="inlineStr">
        <is>
          <t>O</t>
        </is>
      </c>
      <c r="BK27" s="24" t="inlineStr">
        <is>
          <t>O</t>
        </is>
      </c>
      <c r="BL27" s="24" t="inlineStr">
        <is>
          <t>O</t>
        </is>
      </c>
      <c r="BM27" s="24" t="inlineStr">
        <is>
          <t>O</t>
        </is>
      </c>
      <c r="BN27" s="24" t="inlineStr">
        <is>
          <t>O</t>
        </is>
      </c>
      <c r="BO27" s="24" t="inlineStr">
        <is>
          <t>O</t>
        </is>
      </c>
      <c r="BP27" s="24" t="inlineStr">
        <is>
          <t>O</t>
        </is>
      </c>
      <c r="BQ27" s="24" t="inlineStr">
        <is>
          <t>O</t>
        </is>
      </c>
      <c r="BR27" s="24" t="inlineStr">
        <is>
          <t>O</t>
        </is>
      </c>
      <c r="BS27" s="24" t="inlineStr">
        <is>
          <t>O</t>
        </is>
      </c>
      <c r="BT27" s="24" t="inlineStr">
        <is>
          <t>O</t>
        </is>
      </c>
      <c r="BU27" s="24" t="inlineStr">
        <is>
          <t>O</t>
        </is>
      </c>
      <c r="BV27" s="24" t="inlineStr">
        <is>
          <t>O</t>
        </is>
      </c>
      <c r="BW27" s="24" t="inlineStr">
        <is>
          <t>O</t>
        </is>
      </c>
      <c r="BX27" s="24" t="inlineStr">
        <is>
          <t>O</t>
        </is>
      </c>
      <c r="BY27" s="24" t="inlineStr">
        <is>
          <t>O</t>
        </is>
      </c>
      <c r="BZ27" s="24" t="inlineStr">
        <is>
          <t>O</t>
        </is>
      </c>
      <c r="CA27" s="24" t="inlineStr">
        <is>
          <t>O</t>
        </is>
      </c>
      <c r="CB27" s="24" t="inlineStr">
        <is>
          <t>O</t>
        </is>
      </c>
      <c r="CC27" s="24" t="inlineStr">
        <is>
          <t>O</t>
        </is>
      </c>
      <c r="CD27" s="24" t="inlineStr">
        <is>
          <t>O</t>
        </is>
      </c>
      <c r="CE27" s="24" t="inlineStr">
        <is>
          <t>O</t>
        </is>
      </c>
      <c r="CF27" s="24" t="inlineStr">
        <is>
          <t>O</t>
        </is>
      </c>
      <c r="CG27" s="24" t="inlineStr">
        <is>
          <t>O</t>
        </is>
      </c>
      <c r="CH27" s="24" t="inlineStr">
        <is>
          <t>O</t>
        </is>
      </c>
      <c r="CI27" s="24" t="inlineStr">
        <is>
          <t>O</t>
        </is>
      </c>
      <c r="CJ27" s="24" t="inlineStr">
        <is>
          <t>O</t>
        </is>
      </c>
      <c r="CK27" s="24" t="inlineStr">
        <is>
          <t>O</t>
        </is>
      </c>
      <c r="CL27" s="24" t="inlineStr">
        <is>
          <t>O</t>
        </is>
      </c>
      <c r="CM27" s="24" t="inlineStr">
        <is>
          <t>O</t>
        </is>
      </c>
      <c r="CN27" s="24" t="inlineStr">
        <is>
          <t>O</t>
        </is>
      </c>
      <c r="CO27" s="24" t="inlineStr">
        <is>
          <t>O</t>
        </is>
      </c>
      <c r="CP27" s="24" t="inlineStr">
        <is>
          <t>O</t>
        </is>
      </c>
      <c r="CQ27" s="24" t="inlineStr">
        <is>
          <t>O</t>
        </is>
      </c>
      <c r="CR27" s="24" t="inlineStr">
        <is>
          <t>O</t>
        </is>
      </c>
      <c r="CS27" s="24" t="inlineStr">
        <is>
          <t>O</t>
        </is>
      </c>
      <c r="CT27" s="24" t="inlineStr">
        <is>
          <t>O</t>
        </is>
      </c>
      <c r="CU27" s="24" t="inlineStr">
        <is>
          <t>O</t>
        </is>
      </c>
      <c r="CV27" s="24" t="inlineStr">
        <is>
          <t>O</t>
        </is>
      </c>
      <c r="CW27" s="24" t="inlineStr">
        <is>
          <t>O</t>
        </is>
      </c>
      <c r="CX27" s="24" t="inlineStr">
        <is>
          <t>O</t>
        </is>
      </c>
      <c r="CY27" s="24" t="inlineStr">
        <is>
          <t>O</t>
        </is>
      </c>
      <c r="CZ27" s="24" t="inlineStr">
        <is>
          <t>O</t>
        </is>
      </c>
      <c r="DA27" s="24" t="inlineStr">
        <is>
          <t>O</t>
        </is>
      </c>
      <c r="DB27" s="24" t="inlineStr">
        <is>
          <t>O</t>
        </is>
      </c>
      <c r="DC27" s="24" t="inlineStr">
        <is>
          <t>O</t>
        </is>
      </c>
      <c r="DD27" s="24" t="inlineStr">
        <is>
          <t>O</t>
        </is>
      </c>
      <c r="DE27" s="24" t="inlineStr">
        <is>
          <t>O</t>
        </is>
      </c>
      <c r="DF27" s="24" t="inlineStr">
        <is>
          <t>O</t>
        </is>
      </c>
      <c r="DG27" s="24" t="inlineStr">
        <is>
          <t>O</t>
        </is>
      </c>
      <c r="DH27" s="24" t="inlineStr">
        <is>
          <t>O</t>
        </is>
      </c>
      <c r="DI27" s="24" t="inlineStr">
        <is>
          <t>O</t>
        </is>
      </c>
      <c r="DJ27" s="24" t="inlineStr">
        <is>
          <t>O</t>
        </is>
      </c>
      <c r="DK27" s="24" t="inlineStr">
        <is>
          <t>O</t>
        </is>
      </c>
      <c r="DL27" s="24" t="inlineStr">
        <is>
          <t>O</t>
        </is>
      </c>
      <c r="DM27" s="24" t="inlineStr">
        <is>
          <t>O</t>
        </is>
      </c>
      <c r="DN27" s="24" t="inlineStr">
        <is>
          <t>O</t>
        </is>
      </c>
      <c r="DO27" s="24" t="inlineStr">
        <is>
          <t>O</t>
        </is>
      </c>
      <c r="DP27" s="24" t="inlineStr">
        <is>
          <t>O</t>
        </is>
      </c>
      <c r="DQ27" s="24" t="inlineStr">
        <is>
          <t>O</t>
        </is>
      </c>
      <c r="DR27" s="24" t="inlineStr">
        <is>
          <t>O</t>
        </is>
      </c>
      <c r="DS27" s="24" t="inlineStr">
        <is>
          <t>O</t>
        </is>
      </c>
      <c r="DT27" s="24" t="inlineStr">
        <is>
          <t>O</t>
        </is>
      </c>
      <c r="DU27" s="24" t="inlineStr">
        <is>
          <t>O</t>
        </is>
      </c>
      <c r="DV27" s="24" t="inlineStr">
        <is>
          <t>O</t>
        </is>
      </c>
      <c r="DW27" s="24" t="inlineStr">
        <is>
          <t>O</t>
        </is>
      </c>
      <c r="DX27" s="24" t="inlineStr">
        <is>
          <t>O</t>
        </is>
      </c>
      <c r="DY27" s="24" t="inlineStr">
        <is>
          <t>O</t>
        </is>
      </c>
      <c r="DZ27" s="24" t="inlineStr">
        <is>
          <t>O</t>
        </is>
      </c>
      <c r="EA27" s="24" t="inlineStr">
        <is>
          <t>O</t>
        </is>
      </c>
      <c r="EB27" s="24" t="inlineStr">
        <is>
          <t>O</t>
        </is>
      </c>
      <c r="EC27" s="24" t="inlineStr">
        <is>
          <t>O</t>
        </is>
      </c>
      <c r="ED27" s="24" t="inlineStr">
        <is>
          <t>O</t>
        </is>
      </c>
      <c r="EE27" s="24" t="inlineStr">
        <is>
          <t>O</t>
        </is>
      </c>
      <c r="EF27" s="24" t="inlineStr">
        <is>
          <t>O</t>
        </is>
      </c>
      <c r="EG27" s="24" t="inlineStr">
        <is>
          <t>O</t>
        </is>
      </c>
      <c r="EH27" s="24" t="inlineStr">
        <is>
          <t>O</t>
        </is>
      </c>
      <c r="EI27" s="24" t="inlineStr">
        <is>
          <t>O</t>
        </is>
      </c>
      <c r="EJ27" s="24" t="inlineStr">
        <is>
          <t>O</t>
        </is>
      </c>
      <c r="EK27" s="24" t="inlineStr">
        <is>
          <t>O</t>
        </is>
      </c>
      <c r="EL27" s="24" t="inlineStr">
        <is>
          <t>O</t>
        </is>
      </c>
      <c r="EM27" s="24" t="inlineStr">
        <is>
          <t>O</t>
        </is>
      </c>
      <c r="EN27" s="24" t="inlineStr">
        <is>
          <t>O</t>
        </is>
      </c>
      <c r="EO27" s="24" t="inlineStr">
        <is>
          <t>O</t>
        </is>
      </c>
      <c r="EP27" s="24" t="inlineStr">
        <is>
          <t>O</t>
        </is>
      </c>
      <c r="EQ27" s="24" t="inlineStr">
        <is>
          <t>O</t>
        </is>
      </c>
      <c r="ER27" s="24" t="inlineStr">
        <is>
          <t>O</t>
        </is>
      </c>
      <c r="ES27" s="24" t="inlineStr">
        <is>
          <t>O</t>
        </is>
      </c>
      <c r="ET27" s="24" t="inlineStr">
        <is>
          <t>O</t>
        </is>
      </c>
      <c r="EU27" s="24" t="inlineStr">
        <is>
          <t>O</t>
        </is>
      </c>
      <c r="EV27" s="24" t="inlineStr">
        <is>
          <t>O</t>
        </is>
      </c>
      <c r="EW27" s="24" t="inlineStr">
        <is>
          <t>O</t>
        </is>
      </c>
      <c r="EX27" s="24" t="inlineStr">
        <is>
          <t>O</t>
        </is>
      </c>
      <c r="EY27" s="24" t="inlineStr">
        <is>
          <t>O</t>
        </is>
      </c>
      <c r="EZ27" s="24" t="inlineStr">
        <is>
          <t>O</t>
        </is>
      </c>
      <c r="FA27" s="24" t="inlineStr">
        <is>
          <t>O</t>
        </is>
      </c>
      <c r="FB27" s="24" t="inlineStr">
        <is>
          <t>O</t>
        </is>
      </c>
      <c r="FC27" s="24" t="inlineStr">
        <is>
          <t>O</t>
        </is>
      </c>
      <c r="FD27" s="24" t="inlineStr">
        <is>
          <t>O</t>
        </is>
      </c>
      <c r="FE27" s="24" t="inlineStr">
        <is>
          <t>O</t>
        </is>
      </c>
      <c r="FF27" s="24" t="inlineStr">
        <is>
          <t>O</t>
        </is>
      </c>
      <c r="FG27" s="24" t="inlineStr">
        <is>
          <t>O</t>
        </is>
      </c>
      <c r="FH27" s="24" t="inlineStr">
        <is>
          <t>O</t>
        </is>
      </c>
      <c r="FI27" s="24" t="inlineStr">
        <is>
          <t>O</t>
        </is>
      </c>
      <c r="FJ27" s="24" t="inlineStr">
        <is>
          <t>O</t>
        </is>
      </c>
      <c r="FK27" s="24" t="inlineStr">
        <is>
          <t>O</t>
        </is>
      </c>
      <c r="FL27" s="24" t="inlineStr">
        <is>
          <t>O</t>
        </is>
      </c>
      <c r="FM27" s="24" t="inlineStr">
        <is>
          <t>O</t>
        </is>
      </c>
      <c r="FN27" s="24" t="inlineStr">
        <is>
          <t>O</t>
        </is>
      </c>
      <c r="FO27" s="24" t="inlineStr">
        <is>
          <t>O</t>
        </is>
      </c>
      <c r="FP27" s="24" t="inlineStr">
        <is>
          <t>O</t>
        </is>
      </c>
      <c r="FQ27" s="24" t="inlineStr">
        <is>
          <t>O</t>
        </is>
      </c>
      <c r="FR27" s="24" t="inlineStr">
        <is>
          <t>O</t>
        </is>
      </c>
      <c r="FS27" s="24" t="inlineStr">
        <is>
          <t>O</t>
        </is>
      </c>
      <c r="FT27" s="24" t="inlineStr">
        <is>
          <t>O</t>
        </is>
      </c>
      <c r="FU27" s="24" t="inlineStr">
        <is>
          <t>O</t>
        </is>
      </c>
      <c r="FV27" s="24" t="inlineStr">
        <is>
          <t>O</t>
        </is>
      </c>
      <c r="FW27" s="24" t="inlineStr">
        <is>
          <t>O</t>
        </is>
      </c>
      <c r="FX27" s="24" t="inlineStr">
        <is>
          <t>O</t>
        </is>
      </c>
      <c r="FY27" s="24" t="inlineStr">
        <is>
          <t>O</t>
        </is>
      </c>
      <c r="FZ27" s="24" t="inlineStr">
        <is>
          <t>O</t>
        </is>
      </c>
      <c r="GA27" s="24" t="inlineStr">
        <is>
          <t>O</t>
        </is>
      </c>
      <c r="GB27" s="24" t="inlineStr">
        <is>
          <t>O</t>
        </is>
      </c>
      <c r="GC27" s="24" t="inlineStr">
        <is>
          <t>O</t>
        </is>
      </c>
      <c r="GD27" s="24" t="inlineStr">
        <is>
          <t>O</t>
        </is>
      </c>
      <c r="GE27" s="24" t="inlineStr">
        <is>
          <t>O</t>
        </is>
      </c>
      <c r="GF27" s="24" t="inlineStr">
        <is>
          <t>O</t>
        </is>
      </c>
      <c r="GG27" s="24" t="inlineStr">
        <is>
          <t>O</t>
        </is>
      </c>
      <c r="GH27" s="24" t="inlineStr">
        <is>
          <t>O</t>
        </is>
      </c>
      <c r="GI27" s="24" t="inlineStr">
        <is>
          <t>O</t>
        </is>
      </c>
      <c r="GJ27" s="24" t="inlineStr">
        <is>
          <t>O</t>
        </is>
      </c>
      <c r="GK27" s="24" t="inlineStr">
        <is>
          <t>O</t>
        </is>
      </c>
      <c r="GL27" s="24" t="inlineStr">
        <is>
          <t>O</t>
        </is>
      </c>
      <c r="GM27" s="24" t="inlineStr">
        <is>
          <t>O</t>
        </is>
      </c>
      <c r="GN27" s="24" t="inlineStr">
        <is>
          <t>O</t>
        </is>
      </c>
      <c r="GO27" s="24" t="inlineStr">
        <is>
          <t>O</t>
        </is>
      </c>
      <c r="GP27" s="24" t="inlineStr">
        <is>
          <t>O</t>
        </is>
      </c>
      <c r="GQ27" s="24" t="inlineStr">
        <is>
          <t>O</t>
        </is>
      </c>
      <c r="GR27" s="24" t="inlineStr">
        <is>
          <t>O</t>
        </is>
      </c>
      <c r="GS27" s="24" t="inlineStr">
        <is>
          <t>O</t>
        </is>
      </c>
      <c r="GT27" s="24" t="inlineStr">
        <is>
          <t>O</t>
        </is>
      </c>
      <c r="GU27" s="24" t="inlineStr">
        <is>
          <t>O</t>
        </is>
      </c>
      <c r="GV27" s="24" t="inlineStr">
        <is>
          <t>O</t>
        </is>
      </c>
      <c r="GW27" s="24" t="inlineStr">
        <is>
          <t>O</t>
        </is>
      </c>
      <c r="GX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4" t="n"/>
      <c r="GM28" s="4" t="n"/>
      <c r="GN28" s="4" t="n"/>
      <c r="GO28" s="4" t="n"/>
      <c r="GP28" s="4" t="n"/>
      <c r="GQ28" s="4" t="n"/>
      <c r="GR28" s="4" t="n"/>
      <c r="GS28" s="4" t="n"/>
      <c r="GT28" s="4" t="n"/>
      <c r="GU28" s="4" t="n"/>
      <c r="GV28" s="4" t="n"/>
      <c r="GW28" s="4" t="n"/>
      <c r="GX28" s="4" t="n"/>
    </row>
    <row r="29">
      <c r="A29" s="16" t="n"/>
      <c r="B29" s="18" t="inlineStr">
        <is>
          <t>statusToUpdate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4" t="n"/>
      <c r="GM29" s="4" t="n"/>
      <c r="GN29" s="4" t="n"/>
      <c r="GO29" s="4" t="n"/>
      <c r="GP29" s="4" t="n"/>
      <c r="GQ29" s="4" t="n"/>
      <c r="GR29" s="4" t="n"/>
      <c r="GS29" s="4" t="n"/>
      <c r="GT29" s="4" t="n"/>
      <c r="GU29" s="4" t="n"/>
      <c r="GV29" s="4" t="n"/>
      <c r="GW29" s="4" t="n"/>
      <c r="GX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  <c r="AK30" s="24" t="inlineStr">
        <is>
          <t>O</t>
        </is>
      </c>
      <c r="AL30" s="24" t="inlineStr">
        <is>
          <t>O</t>
        </is>
      </c>
      <c r="AM30" s="24" t="inlineStr">
        <is>
          <t>O</t>
        </is>
      </c>
      <c r="AN30" s="24" t="inlineStr">
        <is>
          <t>O</t>
        </is>
      </c>
      <c r="AO30" s="24" t="inlineStr">
        <is>
          <t>O</t>
        </is>
      </c>
      <c r="AP30" s="24" t="inlineStr">
        <is>
          <t>O</t>
        </is>
      </c>
      <c r="AQ30" s="24" t="inlineStr">
        <is>
          <t>O</t>
        </is>
      </c>
      <c r="AR30" s="24" t="inlineStr">
        <is>
          <t>O</t>
        </is>
      </c>
      <c r="AS30" s="24" t="inlineStr">
        <is>
          <t>O</t>
        </is>
      </c>
      <c r="AT30" s="24" t="inlineStr">
        <is>
          <t>O</t>
        </is>
      </c>
      <c r="AU30" s="24" t="inlineStr">
        <is>
          <t>O</t>
        </is>
      </c>
      <c r="AV30" s="24" t="inlineStr">
        <is>
          <t>O</t>
        </is>
      </c>
      <c r="AW30" s="24" t="inlineStr">
        <is>
          <t>O</t>
        </is>
      </c>
      <c r="AX30" s="24" t="inlineStr">
        <is>
          <t>O</t>
        </is>
      </c>
      <c r="AY30" s="24" t="inlineStr">
        <is>
          <t>O</t>
        </is>
      </c>
      <c r="AZ30" s="24" t="inlineStr">
        <is>
          <t>O</t>
        </is>
      </c>
      <c r="BA30" s="24" t="inlineStr">
        <is>
          <t>O</t>
        </is>
      </c>
      <c r="BB30" s="24" t="inlineStr">
        <is>
          <t>O</t>
        </is>
      </c>
      <c r="BC30" s="24" t="inlineStr">
        <is>
          <t>O</t>
        </is>
      </c>
      <c r="BD30" s="24" t="inlineStr">
        <is>
          <t>O</t>
        </is>
      </c>
      <c r="BE30" s="24" t="inlineStr">
        <is>
          <t>O</t>
        </is>
      </c>
      <c r="BF30" s="24" t="inlineStr">
        <is>
          <t>O</t>
        </is>
      </c>
      <c r="BG30" s="24" t="inlineStr">
        <is>
          <t>O</t>
        </is>
      </c>
      <c r="BH30" s="24" t="inlineStr">
        <is>
          <t>O</t>
        </is>
      </c>
      <c r="BI30" s="24" t="inlineStr">
        <is>
          <t>O</t>
        </is>
      </c>
      <c r="BJ30" s="24" t="inlineStr">
        <is>
          <t>O</t>
        </is>
      </c>
      <c r="BK30" s="24" t="inlineStr">
        <is>
          <t>O</t>
        </is>
      </c>
      <c r="BL30" s="24" t="inlineStr">
        <is>
          <t>O</t>
        </is>
      </c>
      <c r="BM30" s="24" t="inlineStr">
        <is>
          <t>O</t>
        </is>
      </c>
      <c r="BN30" s="24" t="inlineStr">
        <is>
          <t>O</t>
        </is>
      </c>
      <c r="BO30" s="24" t="inlineStr">
        <is>
          <t>O</t>
        </is>
      </c>
      <c r="BP30" s="24" t="inlineStr">
        <is>
          <t>O</t>
        </is>
      </c>
      <c r="BQ30" s="24" t="inlineStr">
        <is>
          <t>O</t>
        </is>
      </c>
      <c r="BR30" s="24" t="inlineStr">
        <is>
          <t>O</t>
        </is>
      </c>
      <c r="BS30" s="24" t="inlineStr">
        <is>
          <t>O</t>
        </is>
      </c>
      <c r="BT30" s="24" t="inlineStr">
        <is>
          <t>O</t>
        </is>
      </c>
      <c r="BU30" s="24" t="inlineStr">
        <is>
          <t>O</t>
        </is>
      </c>
      <c r="BV30" s="24" t="inlineStr">
        <is>
          <t>O</t>
        </is>
      </c>
      <c r="BW30" s="24" t="inlineStr">
        <is>
          <t>O</t>
        </is>
      </c>
      <c r="BX30" s="24" t="inlineStr">
        <is>
          <t>O</t>
        </is>
      </c>
      <c r="BY30" s="24" t="inlineStr">
        <is>
          <t>O</t>
        </is>
      </c>
      <c r="BZ30" s="24" t="inlineStr">
        <is>
          <t>O</t>
        </is>
      </c>
      <c r="CA30" s="24" t="inlineStr">
        <is>
          <t>O</t>
        </is>
      </c>
      <c r="CB30" s="24" t="inlineStr">
        <is>
          <t>O</t>
        </is>
      </c>
      <c r="CC30" s="24" t="inlineStr">
        <is>
          <t>O</t>
        </is>
      </c>
      <c r="CD30" s="24" t="inlineStr">
        <is>
          <t>O</t>
        </is>
      </c>
      <c r="CE30" s="24" t="inlineStr">
        <is>
          <t>O</t>
        </is>
      </c>
      <c r="CF30" s="24" t="inlineStr">
        <is>
          <t>O</t>
        </is>
      </c>
      <c r="CG30" s="24" t="inlineStr">
        <is>
          <t>O</t>
        </is>
      </c>
      <c r="CH30" s="24" t="inlineStr">
        <is>
          <t>O</t>
        </is>
      </c>
      <c r="CI30" s="24" t="inlineStr">
        <is>
          <t>O</t>
        </is>
      </c>
      <c r="CJ30" s="24" t="inlineStr">
        <is>
          <t>O</t>
        </is>
      </c>
      <c r="CK30" s="24" t="inlineStr">
        <is>
          <t>O</t>
        </is>
      </c>
      <c r="CL30" s="24" t="inlineStr">
        <is>
          <t>O</t>
        </is>
      </c>
      <c r="CM30" s="24" t="inlineStr">
        <is>
          <t>O</t>
        </is>
      </c>
      <c r="CN30" s="24" t="inlineStr">
        <is>
          <t>O</t>
        </is>
      </c>
      <c r="CO30" s="24" t="inlineStr">
        <is>
          <t>O</t>
        </is>
      </c>
      <c r="CP30" s="24" t="inlineStr">
        <is>
          <t>O</t>
        </is>
      </c>
      <c r="CQ30" s="24" t="inlineStr">
        <is>
          <t>O</t>
        </is>
      </c>
      <c r="CR30" s="24" t="inlineStr">
        <is>
          <t>O</t>
        </is>
      </c>
      <c r="CS30" s="24" t="inlineStr">
        <is>
          <t>O</t>
        </is>
      </c>
      <c r="CT30" s="24" t="inlineStr">
        <is>
          <t>O</t>
        </is>
      </c>
      <c r="CU30" s="24" t="inlineStr">
        <is>
          <t>O</t>
        </is>
      </c>
      <c r="CV30" s="24" t="inlineStr">
        <is>
          <t>O</t>
        </is>
      </c>
      <c r="CW30" s="24" t="inlineStr">
        <is>
          <t>O</t>
        </is>
      </c>
      <c r="CX30" s="24" t="inlineStr">
        <is>
          <t>O</t>
        </is>
      </c>
      <c r="CY30" s="24" t="inlineStr">
        <is>
          <t>O</t>
        </is>
      </c>
      <c r="CZ30" s="24" t="inlineStr">
        <is>
          <t>O</t>
        </is>
      </c>
      <c r="DA30" s="24" t="inlineStr">
        <is>
          <t>O</t>
        </is>
      </c>
      <c r="DB30" s="24" t="inlineStr">
        <is>
          <t>O</t>
        </is>
      </c>
      <c r="DC30" s="24" t="inlineStr">
        <is>
          <t>O</t>
        </is>
      </c>
      <c r="DD30" s="24" t="inlineStr">
        <is>
          <t>O</t>
        </is>
      </c>
      <c r="DE30" s="24" t="inlineStr">
        <is>
          <t>O</t>
        </is>
      </c>
      <c r="DF30" s="24" t="inlineStr">
        <is>
          <t>O</t>
        </is>
      </c>
      <c r="DG30" s="24" t="inlineStr">
        <is>
          <t>O</t>
        </is>
      </c>
      <c r="DH30" s="24" t="inlineStr">
        <is>
          <t>O</t>
        </is>
      </c>
      <c r="DI30" s="24" t="inlineStr">
        <is>
          <t>O</t>
        </is>
      </c>
      <c r="DJ30" s="24" t="inlineStr">
        <is>
          <t>O</t>
        </is>
      </c>
      <c r="DK30" s="24" t="inlineStr">
        <is>
          <t>O</t>
        </is>
      </c>
      <c r="DL30" s="24" t="inlineStr">
        <is>
          <t>O</t>
        </is>
      </c>
      <c r="DM30" s="24" t="inlineStr">
        <is>
          <t>O</t>
        </is>
      </c>
      <c r="DN30" s="24" t="inlineStr">
        <is>
          <t>O</t>
        </is>
      </c>
      <c r="DO30" s="24" t="inlineStr">
        <is>
          <t>O</t>
        </is>
      </c>
      <c r="DP30" s="24" t="inlineStr">
        <is>
          <t>O</t>
        </is>
      </c>
      <c r="DQ30" s="24" t="inlineStr">
        <is>
          <t>O</t>
        </is>
      </c>
      <c r="DR30" s="24" t="inlineStr">
        <is>
          <t>O</t>
        </is>
      </c>
      <c r="DS30" s="24" t="inlineStr">
        <is>
          <t>O</t>
        </is>
      </c>
      <c r="DT30" s="24" t="inlineStr">
        <is>
          <t>O</t>
        </is>
      </c>
      <c r="DU30" s="24" t="inlineStr">
        <is>
          <t>O</t>
        </is>
      </c>
      <c r="DV30" s="24" t="inlineStr">
        <is>
          <t>O</t>
        </is>
      </c>
      <c r="DW30" s="24" t="inlineStr">
        <is>
          <t>O</t>
        </is>
      </c>
      <c r="DX30" s="24" t="inlineStr">
        <is>
          <t>O</t>
        </is>
      </c>
      <c r="DY30" s="24" t="inlineStr">
        <is>
          <t>O</t>
        </is>
      </c>
      <c r="DZ30" s="24" t="inlineStr">
        <is>
          <t>O</t>
        </is>
      </c>
      <c r="EA30" s="24" t="inlineStr">
        <is>
          <t>O</t>
        </is>
      </c>
      <c r="EB30" s="24" t="inlineStr">
        <is>
          <t>O</t>
        </is>
      </c>
      <c r="EC30" s="24" t="inlineStr">
        <is>
          <t>O</t>
        </is>
      </c>
      <c r="ED30" s="24" t="inlineStr">
        <is>
          <t>O</t>
        </is>
      </c>
      <c r="EE30" s="24" t="inlineStr">
        <is>
          <t>O</t>
        </is>
      </c>
      <c r="EF30" s="24" t="inlineStr">
        <is>
          <t>O</t>
        </is>
      </c>
      <c r="EG30" s="24" t="inlineStr">
        <is>
          <t>O</t>
        </is>
      </c>
      <c r="EH30" s="24" t="inlineStr">
        <is>
          <t>O</t>
        </is>
      </c>
      <c r="EI30" s="24" t="inlineStr">
        <is>
          <t>O</t>
        </is>
      </c>
      <c r="EJ30" s="24" t="inlineStr">
        <is>
          <t>O</t>
        </is>
      </c>
      <c r="EK30" s="24" t="inlineStr">
        <is>
          <t>O</t>
        </is>
      </c>
      <c r="EL30" s="24" t="inlineStr">
        <is>
          <t>O</t>
        </is>
      </c>
      <c r="EM30" s="24" t="inlineStr">
        <is>
          <t>O</t>
        </is>
      </c>
      <c r="EN30" s="24" t="inlineStr">
        <is>
          <t>O</t>
        </is>
      </c>
      <c r="EO30" s="24" t="inlineStr">
        <is>
          <t>O</t>
        </is>
      </c>
      <c r="EP30" s="24" t="inlineStr">
        <is>
          <t>O</t>
        </is>
      </c>
      <c r="EQ30" s="24" t="inlineStr">
        <is>
          <t>O</t>
        </is>
      </c>
      <c r="ER30" s="24" t="inlineStr">
        <is>
          <t>O</t>
        </is>
      </c>
      <c r="ES30" s="24" t="inlineStr">
        <is>
          <t>O</t>
        </is>
      </c>
      <c r="ET30" s="24" t="inlineStr">
        <is>
          <t>O</t>
        </is>
      </c>
      <c r="EU30" s="24" t="inlineStr">
        <is>
          <t>O</t>
        </is>
      </c>
      <c r="EV30" s="24" t="inlineStr">
        <is>
          <t>O</t>
        </is>
      </c>
      <c r="EW30" s="24" t="inlineStr">
        <is>
          <t>O</t>
        </is>
      </c>
      <c r="EX30" s="24" t="inlineStr">
        <is>
          <t>O</t>
        </is>
      </c>
      <c r="EY30" s="24" t="inlineStr">
        <is>
          <t>O</t>
        </is>
      </c>
      <c r="EZ30" s="24" t="inlineStr">
        <is>
          <t>O</t>
        </is>
      </c>
      <c r="FA30" s="24" t="inlineStr">
        <is>
          <t>O</t>
        </is>
      </c>
      <c r="FB30" s="24" t="inlineStr">
        <is>
          <t>O</t>
        </is>
      </c>
      <c r="FC30" s="24" t="inlineStr">
        <is>
          <t>O</t>
        </is>
      </c>
      <c r="FD30" s="24" t="inlineStr">
        <is>
          <t>O</t>
        </is>
      </c>
      <c r="FE30" s="24" t="inlineStr">
        <is>
          <t>O</t>
        </is>
      </c>
      <c r="FF30" s="24" t="inlineStr">
        <is>
          <t>O</t>
        </is>
      </c>
      <c r="FG30" s="24" t="inlineStr">
        <is>
          <t>O</t>
        </is>
      </c>
      <c r="FH30" s="24" t="inlineStr">
        <is>
          <t>O</t>
        </is>
      </c>
      <c r="FI30" s="24" t="inlineStr">
        <is>
          <t>O</t>
        </is>
      </c>
      <c r="FJ30" s="24" t="inlineStr">
        <is>
          <t>O</t>
        </is>
      </c>
      <c r="FK30" s="24" t="inlineStr">
        <is>
          <t>O</t>
        </is>
      </c>
      <c r="FL30" s="24" t="inlineStr">
        <is>
          <t>O</t>
        </is>
      </c>
      <c r="FM30" s="24" t="inlineStr">
        <is>
          <t>O</t>
        </is>
      </c>
      <c r="FN30" s="24" t="inlineStr">
        <is>
          <t>O</t>
        </is>
      </c>
      <c r="FO30" s="24" t="inlineStr">
        <is>
          <t>O</t>
        </is>
      </c>
      <c r="FP30" s="24" t="inlineStr">
        <is>
          <t>O</t>
        </is>
      </c>
      <c r="FQ30" s="24" t="inlineStr">
        <is>
          <t>O</t>
        </is>
      </c>
      <c r="FR30" s="24" t="inlineStr">
        <is>
          <t>O</t>
        </is>
      </c>
      <c r="FS30" s="24" t="inlineStr">
        <is>
          <t>O</t>
        </is>
      </c>
      <c r="FT30" s="24" t="inlineStr">
        <is>
          <t>O</t>
        </is>
      </c>
      <c r="FU30" s="24" t="inlineStr">
        <is>
          <t>O</t>
        </is>
      </c>
      <c r="FV30" s="24" t="inlineStr">
        <is>
          <t>O</t>
        </is>
      </c>
      <c r="FW30" s="24" t="inlineStr">
        <is>
          <t>O</t>
        </is>
      </c>
      <c r="FX30" s="24" t="inlineStr">
        <is>
          <t>O</t>
        </is>
      </c>
      <c r="FY30" s="24" t="inlineStr">
        <is>
          <t>O</t>
        </is>
      </c>
      <c r="FZ30" s="24" t="inlineStr">
        <is>
          <t>O</t>
        </is>
      </c>
      <c r="GA30" s="24" t="inlineStr">
        <is>
          <t>O</t>
        </is>
      </c>
      <c r="GB30" s="24" t="inlineStr">
        <is>
          <t>O</t>
        </is>
      </c>
      <c r="GC30" s="24" t="inlineStr">
        <is>
          <t>O</t>
        </is>
      </c>
      <c r="GD30" s="24" t="inlineStr">
        <is>
          <t>O</t>
        </is>
      </c>
      <c r="GE30" s="24" t="inlineStr">
        <is>
          <t>O</t>
        </is>
      </c>
      <c r="GF30" s="24" t="inlineStr">
        <is>
          <t>O</t>
        </is>
      </c>
      <c r="GG30" s="24" t="inlineStr">
        <is>
          <t>O</t>
        </is>
      </c>
      <c r="GH30" s="24" t="inlineStr">
        <is>
          <t>O</t>
        </is>
      </c>
      <c r="GI30" s="24" t="inlineStr">
        <is>
          <t>O</t>
        </is>
      </c>
      <c r="GJ30" s="24" t="inlineStr">
        <is>
          <t>O</t>
        </is>
      </c>
      <c r="GK30" s="24" t="inlineStr">
        <is>
          <t>O</t>
        </is>
      </c>
      <c r="GL30" s="24" t="inlineStr">
        <is>
          <t>O</t>
        </is>
      </c>
      <c r="GM30" s="24" t="inlineStr">
        <is>
          <t>O</t>
        </is>
      </c>
      <c r="GN30" s="24" t="inlineStr">
        <is>
          <t>O</t>
        </is>
      </c>
      <c r="GO30" s="24" t="inlineStr">
        <is>
          <t>O</t>
        </is>
      </c>
      <c r="GP30" s="24" t="inlineStr">
        <is>
          <t>O</t>
        </is>
      </c>
      <c r="GQ30" s="24" t="inlineStr">
        <is>
          <t>O</t>
        </is>
      </c>
      <c r="GR30" s="24" t="inlineStr">
        <is>
          <t>O</t>
        </is>
      </c>
      <c r="GS30" s="24" t="inlineStr">
        <is>
          <t>O</t>
        </is>
      </c>
      <c r="GT30" s="24" t="inlineStr">
        <is>
          <t>O</t>
        </is>
      </c>
      <c r="GU30" s="24" t="inlineStr">
        <is>
          <t>O</t>
        </is>
      </c>
      <c r="GV30" s="24" t="inlineStr">
        <is>
          <t>O</t>
        </is>
      </c>
      <c r="GW30" s="24" t="inlineStr">
        <is>
          <t>O</t>
        </is>
      </c>
      <c r="GX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/>
      <c r="GL31" s="4" t="n"/>
      <c r="GM31" s="4" t="n"/>
      <c r="GN31" s="4" t="n"/>
      <c r="GO31" s="4" t="n"/>
      <c r="GP31" s="4" t="n"/>
      <c r="GQ31" s="4" t="n"/>
      <c r="GR31" s="4" t="n"/>
      <c r="GS31" s="4" t="n"/>
      <c r="GT31" s="4" t="n"/>
      <c r="GU31" s="4" t="n"/>
      <c r="GV31" s="4" t="n"/>
      <c r="GW31" s="4" t="n"/>
      <c r="GX31" s="4" t="n"/>
    </row>
    <row r="32">
      <c r="A32" s="16" t="n"/>
      <c r="B32" s="18" t="inlineStr">
        <is>
          <t>librarianNote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4" t="n"/>
      <c r="GM32" s="4" t="n"/>
      <c r="GN32" s="4" t="n"/>
      <c r="GO32" s="4" t="n"/>
      <c r="GP32" s="4" t="n"/>
      <c r="GQ32" s="4" t="n"/>
      <c r="GR32" s="4" t="n"/>
      <c r="GS32" s="4" t="n"/>
      <c r="GT32" s="4" t="n"/>
      <c r="GU32" s="4" t="n"/>
      <c r="GV32" s="4" t="n"/>
      <c r="GW32" s="4" t="n"/>
      <c r="GX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  <c r="AF33" s="24" t="inlineStr">
        <is>
          <t>O</t>
        </is>
      </c>
      <c r="AG33" s="24" t="inlineStr">
        <is>
          <t>O</t>
        </is>
      </c>
      <c r="AH33" s="24" t="inlineStr">
        <is>
          <t>O</t>
        </is>
      </c>
      <c r="AI33" s="24" t="inlineStr">
        <is>
          <t>O</t>
        </is>
      </c>
      <c r="AJ33" s="24" t="inlineStr">
        <is>
          <t>O</t>
        </is>
      </c>
      <c r="AK33" s="24" t="inlineStr">
        <is>
          <t>O</t>
        </is>
      </c>
      <c r="AL33" s="24" t="inlineStr">
        <is>
          <t>O</t>
        </is>
      </c>
      <c r="AM33" s="24" t="inlineStr">
        <is>
          <t>O</t>
        </is>
      </c>
      <c r="AN33" s="24" t="inlineStr">
        <is>
          <t>O</t>
        </is>
      </c>
      <c r="AO33" s="24" t="inlineStr">
        <is>
          <t>O</t>
        </is>
      </c>
      <c r="AP33" s="24" t="inlineStr">
        <is>
          <t>O</t>
        </is>
      </c>
      <c r="AQ33" s="24" t="inlineStr">
        <is>
          <t>O</t>
        </is>
      </c>
      <c r="AR33" s="24" t="inlineStr">
        <is>
          <t>O</t>
        </is>
      </c>
      <c r="AS33" s="24" t="inlineStr">
        <is>
          <t>O</t>
        </is>
      </c>
      <c r="AT33" s="24" t="inlineStr">
        <is>
          <t>O</t>
        </is>
      </c>
      <c r="AU33" s="24" t="inlineStr">
        <is>
          <t>O</t>
        </is>
      </c>
      <c r="AV33" s="24" t="inlineStr">
        <is>
          <t>O</t>
        </is>
      </c>
      <c r="AW33" s="24" t="inlineStr">
        <is>
          <t>O</t>
        </is>
      </c>
      <c r="AX33" s="24" t="inlineStr">
        <is>
          <t>O</t>
        </is>
      </c>
      <c r="AY33" s="24" t="inlineStr">
        <is>
          <t>O</t>
        </is>
      </c>
      <c r="AZ33" s="24" t="inlineStr">
        <is>
          <t>O</t>
        </is>
      </c>
      <c r="BA33" s="24" t="inlineStr">
        <is>
          <t>O</t>
        </is>
      </c>
      <c r="BB33" s="24" t="inlineStr">
        <is>
          <t>O</t>
        </is>
      </c>
      <c r="BC33" s="24" t="inlineStr">
        <is>
          <t>O</t>
        </is>
      </c>
      <c r="BD33" s="24" t="inlineStr">
        <is>
          <t>O</t>
        </is>
      </c>
      <c r="BE33" s="24" t="inlineStr">
        <is>
          <t>O</t>
        </is>
      </c>
      <c r="BF33" s="24" t="inlineStr">
        <is>
          <t>O</t>
        </is>
      </c>
      <c r="BG33" s="24" t="inlineStr">
        <is>
          <t>O</t>
        </is>
      </c>
      <c r="BH33" s="24" t="inlineStr">
        <is>
          <t>O</t>
        </is>
      </c>
      <c r="BI33" s="24" t="inlineStr">
        <is>
          <t>O</t>
        </is>
      </c>
      <c r="BJ33" s="24" t="inlineStr">
        <is>
          <t>O</t>
        </is>
      </c>
      <c r="BK33" s="24" t="inlineStr">
        <is>
          <t>O</t>
        </is>
      </c>
      <c r="BL33" s="24" t="inlineStr">
        <is>
          <t>O</t>
        </is>
      </c>
      <c r="BM33" s="24" t="inlineStr">
        <is>
          <t>O</t>
        </is>
      </c>
      <c r="BN33" s="24" t="inlineStr">
        <is>
          <t>O</t>
        </is>
      </c>
      <c r="BO33" s="24" t="inlineStr">
        <is>
          <t>O</t>
        </is>
      </c>
      <c r="BP33" s="24" t="inlineStr">
        <is>
          <t>O</t>
        </is>
      </c>
      <c r="BQ33" s="24" t="inlineStr">
        <is>
          <t>O</t>
        </is>
      </c>
      <c r="BR33" s="24" t="inlineStr">
        <is>
          <t>O</t>
        </is>
      </c>
      <c r="BS33" s="24" t="inlineStr">
        <is>
          <t>O</t>
        </is>
      </c>
      <c r="BT33" s="24" t="inlineStr">
        <is>
          <t>O</t>
        </is>
      </c>
      <c r="BU33" s="24" t="inlineStr">
        <is>
          <t>O</t>
        </is>
      </c>
      <c r="BV33" s="24" t="inlineStr">
        <is>
          <t>O</t>
        </is>
      </c>
      <c r="BW33" s="24" t="inlineStr">
        <is>
          <t>O</t>
        </is>
      </c>
      <c r="BX33" s="24" t="inlineStr">
        <is>
          <t>O</t>
        </is>
      </c>
      <c r="BY33" s="24" t="inlineStr">
        <is>
          <t>O</t>
        </is>
      </c>
      <c r="BZ33" s="24" t="inlineStr">
        <is>
          <t>O</t>
        </is>
      </c>
      <c r="CA33" s="24" t="inlineStr">
        <is>
          <t>O</t>
        </is>
      </c>
      <c r="CB33" s="24" t="inlineStr">
        <is>
          <t>O</t>
        </is>
      </c>
      <c r="CC33" s="24" t="inlineStr">
        <is>
          <t>O</t>
        </is>
      </c>
      <c r="CD33" s="24" t="inlineStr">
        <is>
          <t>O</t>
        </is>
      </c>
      <c r="CE33" s="24" t="inlineStr">
        <is>
          <t>O</t>
        </is>
      </c>
      <c r="CF33" s="24" t="inlineStr">
        <is>
          <t>O</t>
        </is>
      </c>
      <c r="CG33" s="24" t="inlineStr">
        <is>
          <t>O</t>
        </is>
      </c>
      <c r="CH33" s="24" t="inlineStr">
        <is>
          <t>O</t>
        </is>
      </c>
      <c r="CI33" s="24" t="inlineStr">
        <is>
          <t>O</t>
        </is>
      </c>
      <c r="CJ33" s="24" t="inlineStr">
        <is>
          <t>O</t>
        </is>
      </c>
      <c r="CK33" s="24" t="inlineStr">
        <is>
          <t>O</t>
        </is>
      </c>
      <c r="CL33" s="24" t="inlineStr">
        <is>
          <t>O</t>
        </is>
      </c>
      <c r="CM33" s="24" t="inlineStr">
        <is>
          <t>O</t>
        </is>
      </c>
      <c r="CN33" s="24" t="inlineStr">
        <is>
          <t>O</t>
        </is>
      </c>
      <c r="CO33" s="24" t="inlineStr">
        <is>
          <t>O</t>
        </is>
      </c>
      <c r="CP33" s="24" t="inlineStr">
        <is>
          <t>O</t>
        </is>
      </c>
      <c r="CQ33" s="24" t="inlineStr">
        <is>
          <t>O</t>
        </is>
      </c>
      <c r="CR33" s="24" t="inlineStr">
        <is>
          <t>O</t>
        </is>
      </c>
      <c r="CS33" s="24" t="inlineStr">
        <is>
          <t>O</t>
        </is>
      </c>
      <c r="CT33" s="24" t="inlineStr">
        <is>
          <t>O</t>
        </is>
      </c>
      <c r="CU33" s="24" t="inlineStr">
        <is>
          <t>O</t>
        </is>
      </c>
      <c r="CV33" s="24" t="inlineStr">
        <is>
          <t>O</t>
        </is>
      </c>
      <c r="CW33" s="24" t="inlineStr">
        <is>
          <t>O</t>
        </is>
      </c>
      <c r="CX33" s="24" t="inlineStr">
        <is>
          <t>O</t>
        </is>
      </c>
      <c r="CY33" s="24" t="inlineStr">
        <is>
          <t>O</t>
        </is>
      </c>
      <c r="CZ33" s="24" t="inlineStr">
        <is>
          <t>O</t>
        </is>
      </c>
      <c r="DA33" s="24" t="inlineStr">
        <is>
          <t>O</t>
        </is>
      </c>
      <c r="DB33" s="24" t="inlineStr">
        <is>
          <t>O</t>
        </is>
      </c>
      <c r="DC33" s="24" t="inlineStr">
        <is>
          <t>O</t>
        </is>
      </c>
      <c r="DD33" s="24" t="inlineStr">
        <is>
          <t>O</t>
        </is>
      </c>
      <c r="DE33" s="24" t="inlineStr">
        <is>
          <t>O</t>
        </is>
      </c>
      <c r="DF33" s="24" t="inlineStr">
        <is>
          <t>O</t>
        </is>
      </c>
      <c r="DG33" s="24" t="inlineStr">
        <is>
          <t>O</t>
        </is>
      </c>
      <c r="DH33" s="24" t="inlineStr">
        <is>
          <t>O</t>
        </is>
      </c>
      <c r="DI33" s="24" t="inlineStr">
        <is>
          <t>O</t>
        </is>
      </c>
      <c r="DJ33" s="24" t="inlineStr">
        <is>
          <t>O</t>
        </is>
      </c>
      <c r="DK33" s="24" t="inlineStr">
        <is>
          <t>O</t>
        </is>
      </c>
      <c r="DL33" s="24" t="inlineStr">
        <is>
          <t>O</t>
        </is>
      </c>
      <c r="DM33" s="24" t="inlineStr">
        <is>
          <t>O</t>
        </is>
      </c>
      <c r="DN33" s="24" t="inlineStr">
        <is>
          <t>O</t>
        </is>
      </c>
      <c r="DO33" s="24" t="inlineStr">
        <is>
          <t>O</t>
        </is>
      </c>
      <c r="DP33" s="24" t="inlineStr">
        <is>
          <t>O</t>
        </is>
      </c>
      <c r="DQ33" s="24" t="inlineStr">
        <is>
          <t>O</t>
        </is>
      </c>
      <c r="DR33" s="24" t="inlineStr">
        <is>
          <t>O</t>
        </is>
      </c>
      <c r="DS33" s="24" t="inlineStr">
        <is>
          <t>O</t>
        </is>
      </c>
      <c r="DT33" s="24" t="inlineStr">
        <is>
          <t>O</t>
        </is>
      </c>
      <c r="DU33" s="24" t="inlineStr">
        <is>
          <t>O</t>
        </is>
      </c>
      <c r="DV33" s="24" t="inlineStr">
        <is>
          <t>O</t>
        </is>
      </c>
      <c r="DW33" s="24" t="inlineStr">
        <is>
          <t>O</t>
        </is>
      </c>
      <c r="DX33" s="24" t="inlineStr">
        <is>
          <t>O</t>
        </is>
      </c>
      <c r="DY33" s="24" t="inlineStr">
        <is>
          <t>O</t>
        </is>
      </c>
      <c r="DZ33" s="24" t="inlineStr">
        <is>
          <t>O</t>
        </is>
      </c>
      <c r="EA33" s="24" t="inlineStr">
        <is>
          <t>O</t>
        </is>
      </c>
      <c r="EB33" s="24" t="inlineStr">
        <is>
          <t>O</t>
        </is>
      </c>
      <c r="EC33" s="24" t="inlineStr">
        <is>
          <t>O</t>
        </is>
      </c>
      <c r="ED33" s="24" t="inlineStr">
        <is>
          <t>O</t>
        </is>
      </c>
      <c r="EE33" s="24" t="inlineStr">
        <is>
          <t>O</t>
        </is>
      </c>
      <c r="EF33" s="24" t="inlineStr">
        <is>
          <t>O</t>
        </is>
      </c>
      <c r="EG33" s="24" t="inlineStr">
        <is>
          <t>O</t>
        </is>
      </c>
      <c r="EH33" s="24" t="inlineStr">
        <is>
          <t>O</t>
        </is>
      </c>
      <c r="EI33" s="24" t="inlineStr">
        <is>
          <t>O</t>
        </is>
      </c>
      <c r="EJ33" s="24" t="inlineStr">
        <is>
          <t>O</t>
        </is>
      </c>
      <c r="EK33" s="24" t="inlineStr">
        <is>
          <t>O</t>
        </is>
      </c>
      <c r="EL33" s="24" t="inlineStr">
        <is>
          <t>O</t>
        </is>
      </c>
      <c r="EM33" s="24" t="inlineStr">
        <is>
          <t>O</t>
        </is>
      </c>
      <c r="EN33" s="24" t="inlineStr">
        <is>
          <t>O</t>
        </is>
      </c>
      <c r="EO33" s="24" t="inlineStr">
        <is>
          <t>O</t>
        </is>
      </c>
      <c r="EP33" s="24" t="inlineStr">
        <is>
          <t>O</t>
        </is>
      </c>
      <c r="EQ33" s="24" t="inlineStr">
        <is>
          <t>O</t>
        </is>
      </c>
      <c r="ER33" s="24" t="inlineStr">
        <is>
          <t>O</t>
        </is>
      </c>
      <c r="ES33" s="24" t="inlineStr">
        <is>
          <t>O</t>
        </is>
      </c>
      <c r="ET33" s="24" t="inlineStr">
        <is>
          <t>O</t>
        </is>
      </c>
      <c r="EU33" s="24" t="inlineStr">
        <is>
          <t>O</t>
        </is>
      </c>
      <c r="EV33" s="24" t="inlineStr">
        <is>
          <t>O</t>
        </is>
      </c>
      <c r="EW33" s="24" t="inlineStr">
        <is>
          <t>O</t>
        </is>
      </c>
      <c r="EX33" s="24" t="inlineStr">
        <is>
          <t>O</t>
        </is>
      </c>
      <c r="EY33" s="24" t="inlineStr">
        <is>
          <t>O</t>
        </is>
      </c>
      <c r="EZ33" s="24" t="inlineStr">
        <is>
          <t>O</t>
        </is>
      </c>
      <c r="FA33" s="24" t="inlineStr">
        <is>
          <t>O</t>
        </is>
      </c>
      <c r="FB33" s="24" t="inlineStr">
        <is>
          <t>O</t>
        </is>
      </c>
      <c r="FC33" s="24" t="inlineStr">
        <is>
          <t>O</t>
        </is>
      </c>
      <c r="FD33" s="24" t="inlineStr">
        <is>
          <t>O</t>
        </is>
      </c>
      <c r="FE33" s="24" t="inlineStr">
        <is>
          <t>O</t>
        </is>
      </c>
      <c r="FF33" s="24" t="inlineStr">
        <is>
          <t>O</t>
        </is>
      </c>
      <c r="FG33" s="24" t="inlineStr">
        <is>
          <t>O</t>
        </is>
      </c>
      <c r="FH33" s="24" t="inlineStr">
        <is>
          <t>O</t>
        </is>
      </c>
      <c r="FI33" s="24" t="inlineStr">
        <is>
          <t>O</t>
        </is>
      </c>
      <c r="FJ33" s="24" t="inlineStr">
        <is>
          <t>O</t>
        </is>
      </c>
      <c r="FK33" s="24" t="inlineStr">
        <is>
          <t>O</t>
        </is>
      </c>
      <c r="FL33" s="24" t="inlineStr">
        <is>
          <t>O</t>
        </is>
      </c>
      <c r="FM33" s="24" t="inlineStr">
        <is>
          <t>O</t>
        </is>
      </c>
      <c r="FN33" s="24" t="inlineStr">
        <is>
          <t>O</t>
        </is>
      </c>
      <c r="FO33" s="24" t="inlineStr">
        <is>
          <t>O</t>
        </is>
      </c>
      <c r="FP33" s="24" t="inlineStr">
        <is>
          <t>O</t>
        </is>
      </c>
      <c r="FQ33" s="24" t="inlineStr">
        <is>
          <t>O</t>
        </is>
      </c>
      <c r="FR33" s="24" t="inlineStr">
        <is>
          <t>O</t>
        </is>
      </c>
      <c r="FS33" s="24" t="inlineStr">
        <is>
          <t>O</t>
        </is>
      </c>
      <c r="FT33" s="24" t="inlineStr">
        <is>
          <t>O</t>
        </is>
      </c>
      <c r="FU33" s="24" t="inlineStr">
        <is>
          <t>O</t>
        </is>
      </c>
      <c r="FV33" s="24" t="inlineStr">
        <is>
          <t>O</t>
        </is>
      </c>
      <c r="FW33" s="24" t="inlineStr">
        <is>
          <t>O</t>
        </is>
      </c>
      <c r="FX33" s="24" t="inlineStr">
        <is>
          <t>O</t>
        </is>
      </c>
      <c r="FY33" s="24" t="inlineStr">
        <is>
          <t>O</t>
        </is>
      </c>
      <c r="FZ33" s="24" t="inlineStr">
        <is>
          <t>O</t>
        </is>
      </c>
      <c r="GA33" s="24" t="inlineStr">
        <is>
          <t>O</t>
        </is>
      </c>
      <c r="GB33" s="24" t="inlineStr">
        <is>
          <t>O</t>
        </is>
      </c>
      <c r="GC33" s="24" t="inlineStr">
        <is>
          <t>O</t>
        </is>
      </c>
      <c r="GD33" s="24" t="inlineStr">
        <is>
          <t>O</t>
        </is>
      </c>
      <c r="GE33" s="24" t="inlineStr">
        <is>
          <t>O</t>
        </is>
      </c>
      <c r="GF33" s="24" t="inlineStr">
        <is>
          <t>O</t>
        </is>
      </c>
      <c r="GG33" s="24" t="inlineStr">
        <is>
          <t>O</t>
        </is>
      </c>
      <c r="GH33" s="24" t="inlineStr">
        <is>
          <t>O</t>
        </is>
      </c>
      <c r="GI33" s="24" t="inlineStr">
        <is>
          <t>O</t>
        </is>
      </c>
      <c r="GJ33" s="24" t="inlineStr">
        <is>
          <t>O</t>
        </is>
      </c>
      <c r="GK33" s="24" t="inlineStr">
        <is>
          <t>O</t>
        </is>
      </c>
      <c r="GL33" s="24" t="inlineStr">
        <is>
          <t>O</t>
        </is>
      </c>
      <c r="GM33" s="24" t="inlineStr">
        <is>
          <t>O</t>
        </is>
      </c>
      <c r="GN33" s="24" t="inlineStr">
        <is>
          <t>O</t>
        </is>
      </c>
      <c r="GO33" s="24" t="inlineStr">
        <is>
          <t>O</t>
        </is>
      </c>
      <c r="GP33" s="24" t="inlineStr">
        <is>
          <t>O</t>
        </is>
      </c>
      <c r="GQ33" s="24" t="inlineStr">
        <is>
          <t>O</t>
        </is>
      </c>
      <c r="GR33" s="24" t="inlineStr">
        <is>
          <t>O</t>
        </is>
      </c>
      <c r="GS33" s="24" t="inlineStr">
        <is>
          <t>O</t>
        </is>
      </c>
      <c r="GT33" s="24" t="inlineStr">
        <is>
          <t>O</t>
        </is>
      </c>
      <c r="GU33" s="24" t="inlineStr">
        <is>
          <t>O</t>
        </is>
      </c>
      <c r="GV33" s="24" t="inlineStr">
        <is>
          <t>O</t>
        </is>
      </c>
      <c r="GW33" s="24" t="inlineStr">
        <is>
          <t>O</t>
        </is>
      </c>
      <c r="GX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4" t="n"/>
      <c r="GM34" s="4" t="n"/>
      <c r="GN34" s="4" t="n"/>
      <c r="GO34" s="4" t="n"/>
      <c r="GP34" s="4" t="n"/>
      <c r="GQ34" s="4" t="n"/>
      <c r="GR34" s="4" t="n"/>
      <c r="GS34" s="4" t="n"/>
      <c r="GT34" s="4" t="n"/>
      <c r="GU34" s="4" t="n"/>
      <c r="GV34" s="4" t="n"/>
      <c r="GW34" s="4" t="n"/>
      <c r="GX34" s="4" t="n"/>
    </row>
    <row r="35">
      <c r="A35" s="16" t="n"/>
      <c r="B35" s="18" t="inlineStr">
        <is>
          <t>Map&lt;String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4" t="n"/>
      <c r="GM35" s="4" t="n"/>
      <c r="GN35" s="4" t="n"/>
      <c r="GO35" s="4" t="n"/>
      <c r="GP35" s="4" t="n"/>
      <c r="GQ35" s="4" t="n"/>
      <c r="GR35" s="4" t="n"/>
      <c r="GS35" s="4" t="n"/>
      <c r="GT35" s="4" t="n"/>
      <c r="GU35" s="4" t="n"/>
      <c r="GV35" s="4" t="n"/>
      <c r="GW35" s="4" t="n"/>
      <c r="GX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  <c r="AA36" s="24" t="inlineStr">
        <is>
          <t>O</t>
        </is>
      </c>
      <c r="AB36" s="24" t="inlineStr">
        <is>
          <t>O</t>
        </is>
      </c>
      <c r="AC36" s="24" t="inlineStr">
        <is>
          <t>O</t>
        </is>
      </c>
      <c r="AD36" s="24" t="inlineStr">
        <is>
          <t>O</t>
        </is>
      </c>
      <c r="AE36" s="24" t="inlineStr">
        <is>
          <t>O</t>
        </is>
      </c>
      <c r="AF36" s="24" t="inlineStr">
        <is>
          <t>O</t>
        </is>
      </c>
      <c r="AG36" s="24" t="inlineStr">
        <is>
          <t>O</t>
        </is>
      </c>
      <c r="AH36" s="24" t="inlineStr">
        <is>
          <t>O</t>
        </is>
      </c>
      <c r="AI36" s="24" t="inlineStr">
        <is>
          <t>O</t>
        </is>
      </c>
      <c r="AJ36" s="24" t="inlineStr">
        <is>
          <t>O</t>
        </is>
      </c>
      <c r="AK36" s="24" t="inlineStr">
        <is>
          <t>O</t>
        </is>
      </c>
      <c r="AL36" s="24" t="inlineStr">
        <is>
          <t>O</t>
        </is>
      </c>
      <c r="AM36" s="24" t="inlineStr">
        <is>
          <t>O</t>
        </is>
      </c>
      <c r="AN36" s="24" t="inlineStr">
        <is>
          <t>O</t>
        </is>
      </c>
      <c r="AO36" s="24" t="inlineStr">
        <is>
          <t>O</t>
        </is>
      </c>
      <c r="AP36" s="24" t="inlineStr">
        <is>
          <t>O</t>
        </is>
      </c>
      <c r="AQ36" s="24" t="inlineStr">
        <is>
          <t>O</t>
        </is>
      </c>
      <c r="AR36" s="24" t="inlineStr">
        <is>
          <t>O</t>
        </is>
      </c>
      <c r="AS36" s="24" t="inlineStr">
        <is>
          <t>O</t>
        </is>
      </c>
      <c r="AT36" s="24" t="inlineStr">
        <is>
          <t>O</t>
        </is>
      </c>
      <c r="AU36" s="24" t="inlineStr">
        <is>
          <t>O</t>
        </is>
      </c>
      <c r="AV36" s="24" t="inlineStr">
        <is>
          <t>O</t>
        </is>
      </c>
      <c r="AW36" s="24" t="inlineStr">
        <is>
          <t>O</t>
        </is>
      </c>
      <c r="AX36" s="24" t="inlineStr">
        <is>
          <t>O</t>
        </is>
      </c>
      <c r="AY36" s="24" t="inlineStr">
        <is>
          <t>O</t>
        </is>
      </c>
      <c r="AZ36" s="24" t="inlineStr">
        <is>
          <t>O</t>
        </is>
      </c>
      <c r="BA36" s="24" t="inlineStr">
        <is>
          <t>O</t>
        </is>
      </c>
      <c r="BB36" s="24" t="inlineStr">
        <is>
          <t>O</t>
        </is>
      </c>
      <c r="BC36" s="24" t="inlineStr">
        <is>
          <t>O</t>
        </is>
      </c>
      <c r="BD36" s="24" t="inlineStr">
        <is>
          <t>O</t>
        </is>
      </c>
      <c r="BE36" s="24" t="inlineStr">
        <is>
          <t>O</t>
        </is>
      </c>
      <c r="BF36" s="24" t="inlineStr">
        <is>
          <t>O</t>
        </is>
      </c>
      <c r="BG36" s="24" t="inlineStr">
        <is>
          <t>O</t>
        </is>
      </c>
      <c r="BH36" s="24" t="inlineStr">
        <is>
          <t>O</t>
        </is>
      </c>
      <c r="BI36" s="24" t="inlineStr">
        <is>
          <t>O</t>
        </is>
      </c>
      <c r="BJ36" s="24" t="inlineStr">
        <is>
          <t>O</t>
        </is>
      </c>
      <c r="BK36" s="24" t="inlineStr">
        <is>
          <t>O</t>
        </is>
      </c>
      <c r="BL36" s="24" t="inlineStr">
        <is>
          <t>O</t>
        </is>
      </c>
      <c r="BM36" s="24" t="inlineStr">
        <is>
          <t>O</t>
        </is>
      </c>
      <c r="BN36" s="24" t="inlineStr">
        <is>
          <t>O</t>
        </is>
      </c>
      <c r="BO36" s="24" t="inlineStr">
        <is>
          <t>O</t>
        </is>
      </c>
      <c r="BP36" s="24" t="inlineStr">
        <is>
          <t>O</t>
        </is>
      </c>
      <c r="BQ36" s="24" t="inlineStr">
        <is>
          <t>O</t>
        </is>
      </c>
      <c r="BR36" s="24" t="inlineStr">
        <is>
          <t>O</t>
        </is>
      </c>
      <c r="BS36" s="24" t="inlineStr">
        <is>
          <t>O</t>
        </is>
      </c>
      <c r="BT36" s="24" t="inlineStr">
        <is>
          <t>O</t>
        </is>
      </c>
      <c r="BU36" s="24" t="inlineStr">
        <is>
          <t>O</t>
        </is>
      </c>
      <c r="BV36" s="24" t="inlineStr">
        <is>
          <t>O</t>
        </is>
      </c>
      <c r="BW36" s="24" t="inlineStr">
        <is>
          <t>O</t>
        </is>
      </c>
      <c r="BX36" s="24" t="inlineStr">
        <is>
          <t>O</t>
        </is>
      </c>
      <c r="BY36" s="24" t="inlineStr">
        <is>
          <t>O</t>
        </is>
      </c>
      <c r="BZ36" s="24" t="inlineStr">
        <is>
          <t>O</t>
        </is>
      </c>
      <c r="CA36" s="24" t="inlineStr">
        <is>
          <t>O</t>
        </is>
      </c>
      <c r="CB36" s="24" t="inlineStr">
        <is>
          <t>O</t>
        </is>
      </c>
      <c r="CC36" s="24" t="inlineStr">
        <is>
          <t>O</t>
        </is>
      </c>
      <c r="CD36" s="24" t="inlineStr">
        <is>
          <t>O</t>
        </is>
      </c>
      <c r="CE36" s="24" t="inlineStr">
        <is>
          <t>O</t>
        </is>
      </c>
      <c r="CF36" s="24" t="inlineStr">
        <is>
          <t>O</t>
        </is>
      </c>
      <c r="CG36" s="24" t="inlineStr">
        <is>
          <t>O</t>
        </is>
      </c>
      <c r="CH36" s="24" t="inlineStr">
        <is>
          <t>O</t>
        </is>
      </c>
      <c r="CI36" s="24" t="inlineStr">
        <is>
          <t>O</t>
        </is>
      </c>
      <c r="CJ36" s="24" t="inlineStr">
        <is>
          <t>O</t>
        </is>
      </c>
      <c r="CK36" s="24" t="inlineStr">
        <is>
          <t>O</t>
        </is>
      </c>
      <c r="CL36" s="24" t="inlineStr">
        <is>
          <t>O</t>
        </is>
      </c>
      <c r="CM36" s="24" t="inlineStr">
        <is>
          <t>O</t>
        </is>
      </c>
      <c r="CN36" s="24" t="inlineStr">
        <is>
          <t>O</t>
        </is>
      </c>
      <c r="CO36" s="24" t="inlineStr">
        <is>
          <t>O</t>
        </is>
      </c>
      <c r="CP36" s="24" t="inlineStr">
        <is>
          <t>O</t>
        </is>
      </c>
      <c r="CQ36" s="24" t="inlineStr">
        <is>
          <t>O</t>
        </is>
      </c>
      <c r="CR36" s="24" t="inlineStr">
        <is>
          <t>O</t>
        </is>
      </c>
      <c r="CS36" s="24" t="inlineStr">
        <is>
          <t>O</t>
        </is>
      </c>
      <c r="CT36" s="24" t="inlineStr">
        <is>
          <t>O</t>
        </is>
      </c>
      <c r="CU36" s="24" t="inlineStr">
        <is>
          <t>O</t>
        </is>
      </c>
      <c r="CV36" s="24" t="inlineStr">
        <is>
          <t>O</t>
        </is>
      </c>
      <c r="CW36" s="24" t="inlineStr">
        <is>
          <t>O</t>
        </is>
      </c>
      <c r="CX36" s="24" t="inlineStr">
        <is>
          <t>O</t>
        </is>
      </c>
      <c r="CY36" s="24" t="inlineStr">
        <is>
          <t>O</t>
        </is>
      </c>
      <c r="CZ36" s="24" t="inlineStr">
        <is>
          <t>O</t>
        </is>
      </c>
      <c r="DA36" s="24" t="inlineStr">
        <is>
          <t>O</t>
        </is>
      </c>
      <c r="DB36" s="24" t="inlineStr">
        <is>
          <t>O</t>
        </is>
      </c>
      <c r="DC36" s="24" t="inlineStr">
        <is>
          <t>O</t>
        </is>
      </c>
      <c r="DD36" s="24" t="inlineStr">
        <is>
          <t>O</t>
        </is>
      </c>
      <c r="DE36" s="24" t="inlineStr">
        <is>
          <t>O</t>
        </is>
      </c>
      <c r="DF36" s="24" t="inlineStr">
        <is>
          <t>O</t>
        </is>
      </c>
      <c r="DG36" s="24" t="inlineStr">
        <is>
          <t>O</t>
        </is>
      </c>
      <c r="DH36" s="24" t="inlineStr">
        <is>
          <t>O</t>
        </is>
      </c>
      <c r="DI36" s="24" t="inlineStr">
        <is>
          <t>O</t>
        </is>
      </c>
      <c r="DJ36" s="24" t="inlineStr">
        <is>
          <t>O</t>
        </is>
      </c>
      <c r="DK36" s="24" t="inlineStr">
        <is>
          <t>O</t>
        </is>
      </c>
      <c r="DL36" s="24" t="inlineStr">
        <is>
          <t>O</t>
        </is>
      </c>
      <c r="DM36" s="24" t="inlineStr">
        <is>
          <t>O</t>
        </is>
      </c>
      <c r="DN36" s="24" t="inlineStr">
        <is>
          <t>O</t>
        </is>
      </c>
      <c r="DO36" s="24" t="inlineStr">
        <is>
          <t>O</t>
        </is>
      </c>
      <c r="DP36" s="24" t="inlineStr">
        <is>
          <t>O</t>
        </is>
      </c>
      <c r="DQ36" s="24" t="inlineStr">
        <is>
          <t>O</t>
        </is>
      </c>
      <c r="DR36" s="24" t="inlineStr">
        <is>
          <t>O</t>
        </is>
      </c>
      <c r="DS36" s="24" t="inlineStr">
        <is>
          <t>O</t>
        </is>
      </c>
      <c r="DT36" s="24" t="inlineStr">
        <is>
          <t>O</t>
        </is>
      </c>
      <c r="DU36" s="24" t="inlineStr">
        <is>
          <t>O</t>
        </is>
      </c>
      <c r="DV36" s="24" t="inlineStr">
        <is>
          <t>O</t>
        </is>
      </c>
      <c r="DW36" s="24" t="inlineStr">
        <is>
          <t>O</t>
        </is>
      </c>
      <c r="DX36" s="24" t="inlineStr">
        <is>
          <t>O</t>
        </is>
      </c>
      <c r="DY36" s="24" t="inlineStr">
        <is>
          <t>O</t>
        </is>
      </c>
      <c r="DZ36" s="24" t="inlineStr">
        <is>
          <t>O</t>
        </is>
      </c>
      <c r="EA36" s="24" t="inlineStr">
        <is>
          <t>O</t>
        </is>
      </c>
      <c r="EB36" s="24" t="inlineStr">
        <is>
          <t>O</t>
        </is>
      </c>
      <c r="EC36" s="24" t="inlineStr">
        <is>
          <t>O</t>
        </is>
      </c>
      <c r="ED36" s="24" t="inlineStr">
        <is>
          <t>O</t>
        </is>
      </c>
      <c r="EE36" s="24" t="inlineStr">
        <is>
          <t>O</t>
        </is>
      </c>
      <c r="EF36" s="24" t="inlineStr">
        <is>
          <t>O</t>
        </is>
      </c>
      <c r="EG36" s="24" t="inlineStr">
        <is>
          <t>O</t>
        </is>
      </c>
      <c r="EH36" s="24" t="inlineStr">
        <is>
          <t>O</t>
        </is>
      </c>
      <c r="EI36" s="24" t="inlineStr">
        <is>
          <t>O</t>
        </is>
      </c>
      <c r="EJ36" s="24" t="inlineStr">
        <is>
          <t>O</t>
        </is>
      </c>
      <c r="EK36" s="24" t="inlineStr">
        <is>
          <t>O</t>
        </is>
      </c>
      <c r="EL36" s="24" t="inlineStr">
        <is>
          <t>O</t>
        </is>
      </c>
      <c r="EM36" s="24" t="inlineStr">
        <is>
          <t>O</t>
        </is>
      </c>
      <c r="EN36" s="24" t="inlineStr">
        <is>
          <t>O</t>
        </is>
      </c>
      <c r="EO36" s="24" t="inlineStr">
        <is>
          <t>O</t>
        </is>
      </c>
      <c r="EP36" s="24" t="inlineStr">
        <is>
          <t>O</t>
        </is>
      </c>
      <c r="EQ36" s="24" t="inlineStr">
        <is>
          <t>O</t>
        </is>
      </c>
      <c r="ER36" s="24" t="inlineStr">
        <is>
          <t>O</t>
        </is>
      </c>
      <c r="ES36" s="24" t="inlineStr">
        <is>
          <t>O</t>
        </is>
      </c>
      <c r="ET36" s="24" t="inlineStr">
        <is>
          <t>O</t>
        </is>
      </c>
      <c r="EU36" s="24" t="inlineStr">
        <is>
          <t>O</t>
        </is>
      </c>
      <c r="EV36" s="24" t="inlineStr">
        <is>
          <t>O</t>
        </is>
      </c>
      <c r="EW36" s="24" t="inlineStr">
        <is>
          <t>O</t>
        </is>
      </c>
      <c r="EX36" s="24" t="inlineStr">
        <is>
          <t>O</t>
        </is>
      </c>
      <c r="EY36" s="24" t="inlineStr">
        <is>
          <t>O</t>
        </is>
      </c>
      <c r="EZ36" s="24" t="inlineStr">
        <is>
          <t>O</t>
        </is>
      </c>
      <c r="FA36" s="24" t="inlineStr">
        <is>
          <t>O</t>
        </is>
      </c>
      <c r="FB36" s="24" t="inlineStr">
        <is>
          <t>O</t>
        </is>
      </c>
      <c r="FC36" s="24" t="inlineStr">
        <is>
          <t>O</t>
        </is>
      </c>
      <c r="FD36" s="24" t="inlineStr">
        <is>
          <t>O</t>
        </is>
      </c>
      <c r="FE36" s="24" t="inlineStr">
        <is>
          <t>O</t>
        </is>
      </c>
      <c r="FF36" s="24" t="inlineStr">
        <is>
          <t>O</t>
        </is>
      </c>
      <c r="FG36" s="24" t="inlineStr">
        <is>
          <t>O</t>
        </is>
      </c>
      <c r="FH36" s="24" t="inlineStr">
        <is>
          <t>O</t>
        </is>
      </c>
      <c r="FI36" s="24" t="inlineStr">
        <is>
          <t>O</t>
        </is>
      </c>
      <c r="FJ36" s="24" t="inlineStr">
        <is>
          <t>O</t>
        </is>
      </c>
      <c r="FK36" s="24" t="inlineStr">
        <is>
          <t>O</t>
        </is>
      </c>
      <c r="FL36" s="24" t="inlineStr">
        <is>
          <t>O</t>
        </is>
      </c>
      <c r="FM36" s="24" t="inlineStr">
        <is>
          <t>O</t>
        </is>
      </c>
      <c r="FN36" s="24" t="inlineStr">
        <is>
          <t>O</t>
        </is>
      </c>
      <c r="FO36" s="24" t="inlineStr">
        <is>
          <t>O</t>
        </is>
      </c>
      <c r="FP36" s="24" t="inlineStr">
        <is>
          <t>O</t>
        </is>
      </c>
      <c r="FQ36" s="24" t="inlineStr">
        <is>
          <t>O</t>
        </is>
      </c>
      <c r="FR36" s="24" t="inlineStr">
        <is>
          <t>O</t>
        </is>
      </c>
      <c r="FS36" s="24" t="inlineStr">
        <is>
          <t>O</t>
        </is>
      </c>
      <c r="FT36" s="24" t="inlineStr">
        <is>
          <t>O</t>
        </is>
      </c>
      <c r="FU36" s="24" t="inlineStr">
        <is>
          <t>O</t>
        </is>
      </c>
      <c r="FV36" s="24" t="inlineStr">
        <is>
          <t>O</t>
        </is>
      </c>
      <c r="FW36" s="24" t="inlineStr">
        <is>
          <t>O</t>
        </is>
      </c>
      <c r="FX36" s="24" t="inlineStr">
        <is>
          <t>O</t>
        </is>
      </c>
      <c r="FY36" s="24" t="inlineStr">
        <is>
          <t>O</t>
        </is>
      </c>
      <c r="FZ36" s="24" t="inlineStr">
        <is>
          <t>O</t>
        </is>
      </c>
      <c r="GA36" s="24" t="inlineStr">
        <is>
          <t>O</t>
        </is>
      </c>
      <c r="GB36" s="24" t="inlineStr">
        <is>
          <t>O</t>
        </is>
      </c>
      <c r="GC36" s="24" t="inlineStr">
        <is>
          <t>O</t>
        </is>
      </c>
      <c r="GD36" s="24" t="inlineStr">
        <is>
          <t>O</t>
        </is>
      </c>
      <c r="GE36" s="24" t="inlineStr">
        <is>
          <t>O</t>
        </is>
      </c>
      <c r="GF36" s="24" t="inlineStr">
        <is>
          <t>O</t>
        </is>
      </c>
      <c r="GG36" s="24" t="inlineStr">
        <is>
          <t>O</t>
        </is>
      </c>
      <c r="GH36" s="24" t="inlineStr">
        <is>
          <t>O</t>
        </is>
      </c>
      <c r="GI36" s="24" t="inlineStr">
        <is>
          <t>O</t>
        </is>
      </c>
      <c r="GJ36" s="24" t="inlineStr">
        <is>
          <t>O</t>
        </is>
      </c>
      <c r="GK36" s="24" t="inlineStr">
        <is>
          <t>O</t>
        </is>
      </c>
      <c r="GL36" s="24" t="inlineStr">
        <is>
          <t>O</t>
        </is>
      </c>
      <c r="GM36" s="24" t="inlineStr">
        <is>
          <t>O</t>
        </is>
      </c>
      <c r="GN36" s="24" t="inlineStr">
        <is>
          <t>O</t>
        </is>
      </c>
      <c r="GO36" s="24" t="inlineStr">
        <is>
          <t>O</t>
        </is>
      </c>
      <c r="GP36" s="24" t="inlineStr">
        <is>
          <t>O</t>
        </is>
      </c>
      <c r="GQ36" s="24" t="inlineStr">
        <is>
          <t>O</t>
        </is>
      </c>
      <c r="GR36" s="24" t="inlineStr">
        <is>
          <t>O</t>
        </is>
      </c>
      <c r="GS36" s="24" t="inlineStr">
        <is>
          <t>O</t>
        </is>
      </c>
      <c r="GT36" s="24" t="inlineStr">
        <is>
          <t>O</t>
        </is>
      </c>
      <c r="GU36" s="24" t="inlineStr">
        <is>
          <t>O</t>
        </is>
      </c>
      <c r="GV36" s="24" t="inlineStr">
        <is>
          <t>O</t>
        </is>
      </c>
      <c r="GW36" s="24" t="inlineStr">
        <is>
          <t>O</t>
        </is>
      </c>
      <c r="GX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4" t="n"/>
      <c r="GM37" s="4" t="n"/>
      <c r="GN37" s="4" t="n"/>
      <c r="GO37" s="4" t="n"/>
      <c r="GP37" s="4" t="n"/>
      <c r="GQ37" s="4" t="n"/>
      <c r="GR37" s="4" t="n"/>
      <c r="GS37" s="4" t="n"/>
      <c r="GT37" s="4" t="n"/>
      <c r="GU37" s="4" t="n"/>
      <c r="GV37" s="4" t="n"/>
      <c r="GW37" s="4" t="n"/>
      <c r="GX37" s="4" t="n"/>
    </row>
    <row r="38">
      <c r="A38" s="16" t="n"/>
      <c r="B38" s="18" t="inlineStr">
        <is>
          <t>List&lt;Map&lt;String</t>
        </is>
      </c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4" t="n"/>
      <c r="GM38" s="4" t="n"/>
      <c r="GN38" s="4" t="n"/>
      <c r="GO38" s="4" t="n"/>
      <c r="GP38" s="4" t="n"/>
      <c r="GQ38" s="4" t="n"/>
      <c r="GR38" s="4" t="n"/>
      <c r="GS38" s="4" t="n"/>
      <c r="GT38" s="4" t="n"/>
      <c r="GU38" s="4" t="n"/>
      <c r="GV38" s="4" t="n"/>
      <c r="GW38" s="4" t="n"/>
      <c r="GX38" s="4" t="n"/>
    </row>
    <row r="39">
      <c r="A39" s="16" t="n"/>
      <c r="B39" s="19" t="n"/>
      <c r="C39" s="19" t="n"/>
      <c r="D39" s="23" t="inlineStr">
        <is>
          <t>value per TC</t>
        </is>
      </c>
      <c r="E39" s="22" t="n"/>
      <c r="F39" s="24" t="inlineStr">
        <is>
          <t>O</t>
        </is>
      </c>
      <c r="G39" s="24" t="inlineStr">
        <is>
          <t>O</t>
        </is>
      </c>
      <c r="H39" s="24" t="inlineStr">
        <is>
          <t>O</t>
        </is>
      </c>
      <c r="I39" s="24" t="inlineStr">
        <is>
          <t>O</t>
        </is>
      </c>
      <c r="J39" s="24" t="inlineStr">
        <is>
          <t>O</t>
        </is>
      </c>
      <c r="K39" s="24" t="inlineStr">
        <is>
          <t>O</t>
        </is>
      </c>
      <c r="L39" s="24" t="inlineStr">
        <is>
          <t>O</t>
        </is>
      </c>
      <c r="M39" s="24" t="inlineStr">
        <is>
          <t>O</t>
        </is>
      </c>
      <c r="N39" s="24" t="inlineStr">
        <is>
          <t>O</t>
        </is>
      </c>
      <c r="O39" s="24" t="inlineStr">
        <is>
          <t>O</t>
        </is>
      </c>
      <c r="P39" s="24" t="inlineStr">
        <is>
          <t>O</t>
        </is>
      </c>
      <c r="Q39" s="24" t="inlineStr">
        <is>
          <t>O</t>
        </is>
      </c>
      <c r="R39" s="24" t="inlineStr">
        <is>
          <t>O</t>
        </is>
      </c>
      <c r="S39" s="24" t="inlineStr">
        <is>
          <t>O</t>
        </is>
      </c>
      <c r="T39" s="24" t="inlineStr">
        <is>
          <t>O</t>
        </is>
      </c>
      <c r="U39" s="24" t="inlineStr">
        <is>
          <t>O</t>
        </is>
      </c>
      <c r="V39" s="24" t="inlineStr">
        <is>
          <t>O</t>
        </is>
      </c>
      <c r="W39" s="24" t="inlineStr">
        <is>
          <t>O</t>
        </is>
      </c>
      <c r="X39" s="24" t="inlineStr">
        <is>
          <t>O</t>
        </is>
      </c>
      <c r="Y39" s="24" t="inlineStr">
        <is>
          <t>O</t>
        </is>
      </c>
      <c r="Z39" s="24" t="inlineStr">
        <is>
          <t>O</t>
        </is>
      </c>
      <c r="AA39" s="24" t="inlineStr">
        <is>
          <t>O</t>
        </is>
      </c>
      <c r="AB39" s="24" t="inlineStr">
        <is>
          <t>O</t>
        </is>
      </c>
      <c r="AC39" s="24" t="inlineStr">
        <is>
          <t>O</t>
        </is>
      </c>
      <c r="AD39" s="24" t="inlineStr">
        <is>
          <t>O</t>
        </is>
      </c>
      <c r="AE39" s="24" t="inlineStr">
        <is>
          <t>O</t>
        </is>
      </c>
      <c r="AF39" s="24" t="inlineStr">
        <is>
          <t>O</t>
        </is>
      </c>
      <c r="AG39" s="24" t="inlineStr">
        <is>
          <t>O</t>
        </is>
      </c>
      <c r="AH39" s="24" t="inlineStr">
        <is>
          <t>O</t>
        </is>
      </c>
      <c r="AI39" s="24" t="inlineStr">
        <is>
          <t>O</t>
        </is>
      </c>
      <c r="AJ39" s="24" t="inlineStr">
        <is>
          <t>O</t>
        </is>
      </c>
      <c r="AK39" s="24" t="inlineStr">
        <is>
          <t>O</t>
        </is>
      </c>
      <c r="AL39" s="24" t="inlineStr">
        <is>
          <t>O</t>
        </is>
      </c>
      <c r="AM39" s="24" t="inlineStr">
        <is>
          <t>O</t>
        </is>
      </c>
      <c r="AN39" s="24" t="inlineStr">
        <is>
          <t>O</t>
        </is>
      </c>
      <c r="AO39" s="24" t="inlineStr">
        <is>
          <t>O</t>
        </is>
      </c>
      <c r="AP39" s="24" t="inlineStr">
        <is>
          <t>O</t>
        </is>
      </c>
      <c r="AQ39" s="24" t="inlineStr">
        <is>
          <t>O</t>
        </is>
      </c>
      <c r="AR39" s="24" t="inlineStr">
        <is>
          <t>O</t>
        </is>
      </c>
      <c r="AS39" s="24" t="inlineStr">
        <is>
          <t>O</t>
        </is>
      </c>
      <c r="AT39" s="24" t="inlineStr">
        <is>
          <t>O</t>
        </is>
      </c>
      <c r="AU39" s="24" t="inlineStr">
        <is>
          <t>O</t>
        </is>
      </c>
      <c r="AV39" s="24" t="inlineStr">
        <is>
          <t>O</t>
        </is>
      </c>
      <c r="AW39" s="24" t="inlineStr">
        <is>
          <t>O</t>
        </is>
      </c>
      <c r="AX39" s="24" t="inlineStr">
        <is>
          <t>O</t>
        </is>
      </c>
      <c r="AY39" s="24" t="inlineStr">
        <is>
          <t>O</t>
        </is>
      </c>
      <c r="AZ39" s="24" t="inlineStr">
        <is>
          <t>O</t>
        </is>
      </c>
      <c r="BA39" s="24" t="inlineStr">
        <is>
          <t>O</t>
        </is>
      </c>
      <c r="BB39" s="24" t="inlineStr">
        <is>
          <t>O</t>
        </is>
      </c>
      <c r="BC39" s="24" t="inlineStr">
        <is>
          <t>O</t>
        </is>
      </c>
      <c r="BD39" s="24" t="inlineStr">
        <is>
          <t>O</t>
        </is>
      </c>
      <c r="BE39" s="24" t="inlineStr">
        <is>
          <t>O</t>
        </is>
      </c>
      <c r="BF39" s="24" t="inlineStr">
        <is>
          <t>O</t>
        </is>
      </c>
      <c r="BG39" s="24" t="inlineStr">
        <is>
          <t>O</t>
        </is>
      </c>
      <c r="BH39" s="24" t="inlineStr">
        <is>
          <t>O</t>
        </is>
      </c>
      <c r="BI39" s="24" t="inlineStr">
        <is>
          <t>O</t>
        </is>
      </c>
      <c r="BJ39" s="24" t="inlineStr">
        <is>
          <t>O</t>
        </is>
      </c>
      <c r="BK39" s="24" t="inlineStr">
        <is>
          <t>O</t>
        </is>
      </c>
      <c r="BL39" s="24" t="inlineStr">
        <is>
          <t>O</t>
        </is>
      </c>
      <c r="BM39" s="24" t="inlineStr">
        <is>
          <t>O</t>
        </is>
      </c>
      <c r="BN39" s="24" t="inlineStr">
        <is>
          <t>O</t>
        </is>
      </c>
      <c r="BO39" s="24" t="inlineStr">
        <is>
          <t>O</t>
        </is>
      </c>
      <c r="BP39" s="24" t="inlineStr">
        <is>
          <t>O</t>
        </is>
      </c>
      <c r="BQ39" s="24" t="inlineStr">
        <is>
          <t>O</t>
        </is>
      </c>
      <c r="BR39" s="24" t="inlineStr">
        <is>
          <t>O</t>
        </is>
      </c>
      <c r="BS39" s="24" t="inlineStr">
        <is>
          <t>O</t>
        </is>
      </c>
      <c r="BT39" s="24" t="inlineStr">
        <is>
          <t>O</t>
        </is>
      </c>
      <c r="BU39" s="24" t="inlineStr">
        <is>
          <t>O</t>
        </is>
      </c>
      <c r="BV39" s="24" t="inlineStr">
        <is>
          <t>O</t>
        </is>
      </c>
      <c r="BW39" s="24" t="inlineStr">
        <is>
          <t>O</t>
        </is>
      </c>
      <c r="BX39" s="24" t="inlineStr">
        <is>
          <t>O</t>
        </is>
      </c>
      <c r="BY39" s="24" t="inlineStr">
        <is>
          <t>O</t>
        </is>
      </c>
      <c r="BZ39" s="24" t="inlineStr">
        <is>
          <t>O</t>
        </is>
      </c>
      <c r="CA39" s="24" t="inlineStr">
        <is>
          <t>O</t>
        </is>
      </c>
      <c r="CB39" s="24" t="inlineStr">
        <is>
          <t>O</t>
        </is>
      </c>
      <c r="CC39" s="24" t="inlineStr">
        <is>
          <t>O</t>
        </is>
      </c>
      <c r="CD39" s="24" t="inlineStr">
        <is>
          <t>O</t>
        </is>
      </c>
      <c r="CE39" s="24" t="inlineStr">
        <is>
          <t>O</t>
        </is>
      </c>
      <c r="CF39" s="24" t="inlineStr">
        <is>
          <t>O</t>
        </is>
      </c>
      <c r="CG39" s="24" t="inlineStr">
        <is>
          <t>O</t>
        </is>
      </c>
      <c r="CH39" s="24" t="inlineStr">
        <is>
          <t>O</t>
        </is>
      </c>
      <c r="CI39" s="24" t="inlineStr">
        <is>
          <t>O</t>
        </is>
      </c>
      <c r="CJ39" s="24" t="inlineStr">
        <is>
          <t>O</t>
        </is>
      </c>
      <c r="CK39" s="24" t="inlineStr">
        <is>
          <t>O</t>
        </is>
      </c>
      <c r="CL39" s="24" t="inlineStr">
        <is>
          <t>O</t>
        </is>
      </c>
      <c r="CM39" s="24" t="inlineStr">
        <is>
          <t>O</t>
        </is>
      </c>
      <c r="CN39" s="24" t="inlineStr">
        <is>
          <t>O</t>
        </is>
      </c>
      <c r="CO39" s="24" t="inlineStr">
        <is>
          <t>O</t>
        </is>
      </c>
      <c r="CP39" s="24" t="inlineStr">
        <is>
          <t>O</t>
        </is>
      </c>
      <c r="CQ39" s="24" t="inlineStr">
        <is>
          <t>O</t>
        </is>
      </c>
      <c r="CR39" s="24" t="inlineStr">
        <is>
          <t>O</t>
        </is>
      </c>
      <c r="CS39" s="24" t="inlineStr">
        <is>
          <t>O</t>
        </is>
      </c>
      <c r="CT39" s="24" t="inlineStr">
        <is>
          <t>O</t>
        </is>
      </c>
      <c r="CU39" s="24" t="inlineStr">
        <is>
          <t>O</t>
        </is>
      </c>
      <c r="CV39" s="24" t="inlineStr">
        <is>
          <t>O</t>
        </is>
      </c>
      <c r="CW39" s="24" t="inlineStr">
        <is>
          <t>O</t>
        </is>
      </c>
      <c r="CX39" s="24" t="inlineStr">
        <is>
          <t>O</t>
        </is>
      </c>
      <c r="CY39" s="24" t="inlineStr">
        <is>
          <t>O</t>
        </is>
      </c>
      <c r="CZ39" s="24" t="inlineStr">
        <is>
          <t>O</t>
        </is>
      </c>
      <c r="DA39" s="24" t="inlineStr">
        <is>
          <t>O</t>
        </is>
      </c>
      <c r="DB39" s="24" t="inlineStr">
        <is>
          <t>O</t>
        </is>
      </c>
      <c r="DC39" s="24" t="inlineStr">
        <is>
          <t>O</t>
        </is>
      </c>
      <c r="DD39" s="24" t="inlineStr">
        <is>
          <t>O</t>
        </is>
      </c>
      <c r="DE39" s="24" t="inlineStr">
        <is>
          <t>O</t>
        </is>
      </c>
      <c r="DF39" s="24" t="inlineStr">
        <is>
          <t>O</t>
        </is>
      </c>
      <c r="DG39" s="24" t="inlineStr">
        <is>
          <t>O</t>
        </is>
      </c>
      <c r="DH39" s="24" t="inlineStr">
        <is>
          <t>O</t>
        </is>
      </c>
      <c r="DI39" s="24" t="inlineStr">
        <is>
          <t>O</t>
        </is>
      </c>
      <c r="DJ39" s="24" t="inlineStr">
        <is>
          <t>O</t>
        </is>
      </c>
      <c r="DK39" s="24" t="inlineStr">
        <is>
          <t>O</t>
        </is>
      </c>
      <c r="DL39" s="24" t="inlineStr">
        <is>
          <t>O</t>
        </is>
      </c>
      <c r="DM39" s="24" t="inlineStr">
        <is>
          <t>O</t>
        </is>
      </c>
      <c r="DN39" s="24" t="inlineStr">
        <is>
          <t>O</t>
        </is>
      </c>
      <c r="DO39" s="24" t="inlineStr">
        <is>
          <t>O</t>
        </is>
      </c>
      <c r="DP39" s="24" t="inlineStr">
        <is>
          <t>O</t>
        </is>
      </c>
      <c r="DQ39" s="24" t="inlineStr">
        <is>
          <t>O</t>
        </is>
      </c>
      <c r="DR39" s="24" t="inlineStr">
        <is>
          <t>O</t>
        </is>
      </c>
      <c r="DS39" s="24" t="inlineStr">
        <is>
          <t>O</t>
        </is>
      </c>
      <c r="DT39" s="24" t="inlineStr">
        <is>
          <t>O</t>
        </is>
      </c>
      <c r="DU39" s="24" t="inlineStr">
        <is>
          <t>O</t>
        </is>
      </c>
      <c r="DV39" s="24" t="inlineStr">
        <is>
          <t>O</t>
        </is>
      </c>
      <c r="DW39" s="24" t="inlineStr">
        <is>
          <t>O</t>
        </is>
      </c>
      <c r="DX39" s="24" t="inlineStr">
        <is>
          <t>O</t>
        </is>
      </c>
      <c r="DY39" s="24" t="inlineStr">
        <is>
          <t>O</t>
        </is>
      </c>
      <c r="DZ39" s="24" t="inlineStr">
        <is>
          <t>O</t>
        </is>
      </c>
      <c r="EA39" s="24" t="inlineStr">
        <is>
          <t>O</t>
        </is>
      </c>
      <c r="EB39" s="24" t="inlineStr">
        <is>
          <t>O</t>
        </is>
      </c>
      <c r="EC39" s="24" t="inlineStr">
        <is>
          <t>O</t>
        </is>
      </c>
      <c r="ED39" s="24" t="inlineStr">
        <is>
          <t>O</t>
        </is>
      </c>
      <c r="EE39" s="24" t="inlineStr">
        <is>
          <t>O</t>
        </is>
      </c>
      <c r="EF39" s="24" t="inlineStr">
        <is>
          <t>O</t>
        </is>
      </c>
      <c r="EG39" s="24" t="inlineStr">
        <is>
          <t>O</t>
        </is>
      </c>
      <c r="EH39" s="24" t="inlineStr">
        <is>
          <t>O</t>
        </is>
      </c>
      <c r="EI39" s="24" t="inlineStr">
        <is>
          <t>O</t>
        </is>
      </c>
      <c r="EJ39" s="24" t="inlineStr">
        <is>
          <t>O</t>
        </is>
      </c>
      <c r="EK39" s="24" t="inlineStr">
        <is>
          <t>O</t>
        </is>
      </c>
      <c r="EL39" s="24" t="inlineStr">
        <is>
          <t>O</t>
        </is>
      </c>
      <c r="EM39" s="24" t="inlineStr">
        <is>
          <t>O</t>
        </is>
      </c>
      <c r="EN39" s="24" t="inlineStr">
        <is>
          <t>O</t>
        </is>
      </c>
      <c r="EO39" s="24" t="inlineStr">
        <is>
          <t>O</t>
        </is>
      </c>
      <c r="EP39" s="24" t="inlineStr">
        <is>
          <t>O</t>
        </is>
      </c>
      <c r="EQ39" s="24" t="inlineStr">
        <is>
          <t>O</t>
        </is>
      </c>
      <c r="ER39" s="24" t="inlineStr">
        <is>
          <t>O</t>
        </is>
      </c>
      <c r="ES39" s="24" t="inlineStr">
        <is>
          <t>O</t>
        </is>
      </c>
      <c r="ET39" s="24" t="inlineStr">
        <is>
          <t>O</t>
        </is>
      </c>
      <c r="EU39" s="24" t="inlineStr">
        <is>
          <t>O</t>
        </is>
      </c>
      <c r="EV39" s="24" t="inlineStr">
        <is>
          <t>O</t>
        </is>
      </c>
      <c r="EW39" s="24" t="inlineStr">
        <is>
          <t>O</t>
        </is>
      </c>
      <c r="EX39" s="24" t="inlineStr">
        <is>
          <t>O</t>
        </is>
      </c>
      <c r="EY39" s="24" t="inlineStr">
        <is>
          <t>O</t>
        </is>
      </c>
      <c r="EZ39" s="24" t="inlineStr">
        <is>
          <t>O</t>
        </is>
      </c>
      <c r="FA39" s="24" t="inlineStr">
        <is>
          <t>O</t>
        </is>
      </c>
      <c r="FB39" s="24" t="inlineStr">
        <is>
          <t>O</t>
        </is>
      </c>
      <c r="FC39" s="24" t="inlineStr">
        <is>
          <t>O</t>
        </is>
      </c>
      <c r="FD39" s="24" t="inlineStr">
        <is>
          <t>O</t>
        </is>
      </c>
      <c r="FE39" s="24" t="inlineStr">
        <is>
          <t>O</t>
        </is>
      </c>
      <c r="FF39" s="24" t="inlineStr">
        <is>
          <t>O</t>
        </is>
      </c>
      <c r="FG39" s="24" t="inlineStr">
        <is>
          <t>O</t>
        </is>
      </c>
      <c r="FH39" s="24" t="inlineStr">
        <is>
          <t>O</t>
        </is>
      </c>
      <c r="FI39" s="24" t="inlineStr">
        <is>
          <t>O</t>
        </is>
      </c>
      <c r="FJ39" s="24" t="inlineStr">
        <is>
          <t>O</t>
        </is>
      </c>
      <c r="FK39" s="24" t="inlineStr">
        <is>
          <t>O</t>
        </is>
      </c>
      <c r="FL39" s="24" t="inlineStr">
        <is>
          <t>O</t>
        </is>
      </c>
      <c r="FM39" s="24" t="inlineStr">
        <is>
          <t>O</t>
        </is>
      </c>
      <c r="FN39" s="24" t="inlineStr">
        <is>
          <t>O</t>
        </is>
      </c>
      <c r="FO39" s="24" t="inlineStr">
        <is>
          <t>O</t>
        </is>
      </c>
      <c r="FP39" s="24" t="inlineStr">
        <is>
          <t>O</t>
        </is>
      </c>
      <c r="FQ39" s="24" t="inlineStr">
        <is>
          <t>O</t>
        </is>
      </c>
      <c r="FR39" s="24" t="inlineStr">
        <is>
          <t>O</t>
        </is>
      </c>
      <c r="FS39" s="24" t="inlineStr">
        <is>
          <t>O</t>
        </is>
      </c>
      <c r="FT39" s="24" t="inlineStr">
        <is>
          <t>O</t>
        </is>
      </c>
      <c r="FU39" s="24" t="inlineStr">
        <is>
          <t>O</t>
        </is>
      </c>
      <c r="FV39" s="24" t="inlineStr">
        <is>
          <t>O</t>
        </is>
      </c>
      <c r="FW39" s="24" t="inlineStr">
        <is>
          <t>O</t>
        </is>
      </c>
      <c r="FX39" s="24" t="inlineStr">
        <is>
          <t>O</t>
        </is>
      </c>
      <c r="FY39" s="24" t="inlineStr">
        <is>
          <t>O</t>
        </is>
      </c>
      <c r="FZ39" s="24" t="inlineStr">
        <is>
          <t>O</t>
        </is>
      </c>
      <c r="GA39" s="24" t="inlineStr">
        <is>
          <t>O</t>
        </is>
      </c>
      <c r="GB39" s="24" t="inlineStr">
        <is>
          <t>O</t>
        </is>
      </c>
      <c r="GC39" s="24" t="inlineStr">
        <is>
          <t>O</t>
        </is>
      </c>
      <c r="GD39" s="24" t="inlineStr">
        <is>
          <t>O</t>
        </is>
      </c>
      <c r="GE39" s="24" t="inlineStr">
        <is>
          <t>O</t>
        </is>
      </c>
      <c r="GF39" s="24" t="inlineStr">
        <is>
          <t>O</t>
        </is>
      </c>
      <c r="GG39" s="24" t="inlineStr">
        <is>
          <t>O</t>
        </is>
      </c>
      <c r="GH39" s="24" t="inlineStr">
        <is>
          <t>O</t>
        </is>
      </c>
      <c r="GI39" s="24" t="inlineStr">
        <is>
          <t>O</t>
        </is>
      </c>
      <c r="GJ39" s="24" t="inlineStr">
        <is>
          <t>O</t>
        </is>
      </c>
      <c r="GK39" s="24" t="inlineStr">
        <is>
          <t>O</t>
        </is>
      </c>
      <c r="GL39" s="24" t="inlineStr">
        <is>
          <t>O</t>
        </is>
      </c>
      <c r="GM39" s="24" t="inlineStr">
        <is>
          <t>O</t>
        </is>
      </c>
      <c r="GN39" s="24" t="inlineStr">
        <is>
          <t>O</t>
        </is>
      </c>
      <c r="GO39" s="24" t="inlineStr">
        <is>
          <t>O</t>
        </is>
      </c>
      <c r="GP39" s="24" t="inlineStr">
        <is>
          <t>O</t>
        </is>
      </c>
      <c r="GQ39" s="24" t="inlineStr">
        <is>
          <t>O</t>
        </is>
      </c>
      <c r="GR39" s="24" t="inlineStr">
        <is>
          <t>O</t>
        </is>
      </c>
      <c r="GS39" s="24" t="inlineStr">
        <is>
          <t>O</t>
        </is>
      </c>
      <c r="GT39" s="24" t="inlineStr">
        <is>
          <t>O</t>
        </is>
      </c>
      <c r="GU39" s="24" t="inlineStr">
        <is>
          <t>O</t>
        </is>
      </c>
      <c r="GV39" s="24" t="inlineStr">
        <is>
          <t>O</t>
        </is>
      </c>
      <c r="GW39" s="24" t="inlineStr">
        <is>
          <t>O</t>
        </is>
      </c>
      <c r="GX39" s="24" t="inlineStr">
        <is>
          <t>O</t>
        </is>
      </c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4" t="n"/>
      <c r="GM40" s="4" t="n"/>
      <c r="GN40" s="4" t="n"/>
      <c r="GO40" s="4" t="n"/>
      <c r="GP40" s="4" t="n"/>
      <c r="GQ40" s="4" t="n"/>
      <c r="GR40" s="4" t="n"/>
      <c r="GS40" s="4" t="n"/>
      <c r="GT40" s="4" t="n"/>
      <c r="GU40" s="4" t="n"/>
      <c r="GV40" s="4" t="n"/>
      <c r="GW40" s="4" t="n"/>
      <c r="GX40" s="4" t="n"/>
    </row>
    <row r="41">
      <c r="A41" s="16" t="n"/>
      <c r="B41" s="18" t="inlineStr">
        <is>
          <t>dbData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4" t="n"/>
      <c r="GM41" s="4" t="n"/>
      <c r="GN41" s="4" t="n"/>
      <c r="GO41" s="4" t="n"/>
      <c r="GP41" s="4" t="n"/>
      <c r="GQ41" s="4" t="n"/>
      <c r="GR41" s="4" t="n"/>
      <c r="GS41" s="4" t="n"/>
      <c r="GT41" s="4" t="n"/>
      <c r="GU41" s="4" t="n"/>
      <c r="GV41" s="4" t="n"/>
      <c r="GW41" s="4" t="n"/>
      <c r="GX41" s="4" t="n"/>
    </row>
    <row r="42">
      <c r="A42" s="16" t="n"/>
      <c r="B42" s="19" t="n"/>
      <c r="C42" s="19" t="n"/>
      <c r="D42" s="23" t="inlineStr">
        <is>
          <t>value per TC</t>
        </is>
      </c>
      <c r="E42" s="22" t="n"/>
      <c r="F42" s="24" t="inlineStr">
        <is>
          <t>O</t>
        </is>
      </c>
      <c r="G42" s="24" t="inlineStr">
        <is>
          <t>O</t>
        </is>
      </c>
      <c r="H42" s="24" t="inlineStr">
        <is>
          <t>O</t>
        </is>
      </c>
      <c r="I42" s="24" t="inlineStr">
        <is>
          <t>O</t>
        </is>
      </c>
      <c r="J42" s="24" t="inlineStr">
        <is>
          <t>O</t>
        </is>
      </c>
      <c r="K42" s="24" t="inlineStr">
        <is>
          <t>O</t>
        </is>
      </c>
      <c r="L42" s="24" t="inlineStr">
        <is>
          <t>O</t>
        </is>
      </c>
      <c r="M42" s="24" t="inlineStr">
        <is>
          <t>O</t>
        </is>
      </c>
      <c r="N42" s="24" t="inlineStr">
        <is>
          <t>O</t>
        </is>
      </c>
      <c r="O42" s="24" t="inlineStr">
        <is>
          <t>O</t>
        </is>
      </c>
      <c r="P42" s="24" t="inlineStr">
        <is>
          <t>O</t>
        </is>
      </c>
      <c r="Q42" s="24" t="inlineStr">
        <is>
          <t>O</t>
        </is>
      </c>
      <c r="R42" s="24" t="inlineStr">
        <is>
          <t>O</t>
        </is>
      </c>
      <c r="S42" s="24" t="inlineStr">
        <is>
          <t>O</t>
        </is>
      </c>
      <c r="T42" s="24" t="inlineStr">
        <is>
          <t>O</t>
        </is>
      </c>
      <c r="U42" s="24" t="inlineStr">
        <is>
          <t>O</t>
        </is>
      </c>
      <c r="V42" s="24" t="inlineStr">
        <is>
          <t>O</t>
        </is>
      </c>
      <c r="W42" s="24" t="inlineStr">
        <is>
          <t>O</t>
        </is>
      </c>
      <c r="X42" s="24" t="inlineStr">
        <is>
          <t>O</t>
        </is>
      </c>
      <c r="Y42" s="24" t="inlineStr">
        <is>
          <t>O</t>
        </is>
      </c>
      <c r="Z42" s="24" t="inlineStr">
        <is>
          <t>O</t>
        </is>
      </c>
      <c r="AA42" s="24" t="inlineStr">
        <is>
          <t>O</t>
        </is>
      </c>
      <c r="AB42" s="24" t="inlineStr">
        <is>
          <t>O</t>
        </is>
      </c>
      <c r="AC42" s="24" t="inlineStr">
        <is>
          <t>O</t>
        </is>
      </c>
      <c r="AD42" s="24" t="inlineStr">
        <is>
          <t>O</t>
        </is>
      </c>
      <c r="AE42" s="24" t="inlineStr">
        <is>
          <t>O</t>
        </is>
      </c>
      <c r="AF42" s="24" t="inlineStr">
        <is>
          <t>O</t>
        </is>
      </c>
      <c r="AG42" s="24" t="inlineStr">
        <is>
          <t>O</t>
        </is>
      </c>
      <c r="AH42" s="24" t="inlineStr">
        <is>
          <t>O</t>
        </is>
      </c>
      <c r="AI42" s="24" t="inlineStr">
        <is>
          <t>O</t>
        </is>
      </c>
      <c r="AJ42" s="24" t="inlineStr">
        <is>
          <t>O</t>
        </is>
      </c>
      <c r="AK42" s="24" t="inlineStr">
        <is>
          <t>O</t>
        </is>
      </c>
      <c r="AL42" s="24" t="inlineStr">
        <is>
          <t>O</t>
        </is>
      </c>
      <c r="AM42" s="24" t="inlineStr">
        <is>
          <t>O</t>
        </is>
      </c>
      <c r="AN42" s="24" t="inlineStr">
        <is>
          <t>O</t>
        </is>
      </c>
      <c r="AO42" s="24" t="inlineStr">
        <is>
          <t>O</t>
        </is>
      </c>
      <c r="AP42" s="24" t="inlineStr">
        <is>
          <t>O</t>
        </is>
      </c>
      <c r="AQ42" s="24" t="inlineStr">
        <is>
          <t>O</t>
        </is>
      </c>
      <c r="AR42" s="24" t="inlineStr">
        <is>
          <t>O</t>
        </is>
      </c>
      <c r="AS42" s="24" t="inlineStr">
        <is>
          <t>O</t>
        </is>
      </c>
      <c r="AT42" s="24" t="inlineStr">
        <is>
          <t>O</t>
        </is>
      </c>
      <c r="AU42" s="24" t="inlineStr">
        <is>
          <t>O</t>
        </is>
      </c>
      <c r="AV42" s="24" t="inlineStr">
        <is>
          <t>O</t>
        </is>
      </c>
      <c r="AW42" s="24" t="inlineStr">
        <is>
          <t>O</t>
        </is>
      </c>
      <c r="AX42" s="24" t="inlineStr">
        <is>
          <t>O</t>
        </is>
      </c>
      <c r="AY42" s="24" t="inlineStr">
        <is>
          <t>O</t>
        </is>
      </c>
      <c r="AZ42" s="24" t="inlineStr">
        <is>
          <t>O</t>
        </is>
      </c>
      <c r="BA42" s="24" t="inlineStr">
        <is>
          <t>O</t>
        </is>
      </c>
      <c r="BB42" s="24" t="inlineStr">
        <is>
          <t>O</t>
        </is>
      </c>
      <c r="BC42" s="24" t="inlineStr">
        <is>
          <t>O</t>
        </is>
      </c>
      <c r="BD42" s="24" t="inlineStr">
        <is>
          <t>O</t>
        </is>
      </c>
      <c r="BE42" s="24" t="inlineStr">
        <is>
          <t>O</t>
        </is>
      </c>
      <c r="BF42" s="24" t="inlineStr">
        <is>
          <t>O</t>
        </is>
      </c>
      <c r="BG42" s="24" t="inlineStr">
        <is>
          <t>O</t>
        </is>
      </c>
      <c r="BH42" s="24" t="inlineStr">
        <is>
          <t>O</t>
        </is>
      </c>
      <c r="BI42" s="24" t="inlineStr">
        <is>
          <t>O</t>
        </is>
      </c>
      <c r="BJ42" s="24" t="inlineStr">
        <is>
          <t>O</t>
        </is>
      </c>
      <c r="BK42" s="24" t="inlineStr">
        <is>
          <t>O</t>
        </is>
      </c>
      <c r="BL42" s="24" t="inlineStr">
        <is>
          <t>O</t>
        </is>
      </c>
      <c r="BM42" s="24" t="inlineStr">
        <is>
          <t>O</t>
        </is>
      </c>
      <c r="BN42" s="24" t="inlineStr">
        <is>
          <t>O</t>
        </is>
      </c>
      <c r="BO42" s="24" t="inlineStr">
        <is>
          <t>O</t>
        </is>
      </c>
      <c r="BP42" s="24" t="inlineStr">
        <is>
          <t>O</t>
        </is>
      </c>
      <c r="BQ42" s="24" t="inlineStr">
        <is>
          <t>O</t>
        </is>
      </c>
      <c r="BR42" s="24" t="inlineStr">
        <is>
          <t>O</t>
        </is>
      </c>
      <c r="BS42" s="24" t="inlineStr">
        <is>
          <t>O</t>
        </is>
      </c>
      <c r="BT42" s="24" t="inlineStr">
        <is>
          <t>O</t>
        </is>
      </c>
      <c r="BU42" s="24" t="inlineStr">
        <is>
          <t>O</t>
        </is>
      </c>
      <c r="BV42" s="24" t="inlineStr">
        <is>
          <t>O</t>
        </is>
      </c>
      <c r="BW42" s="24" t="inlineStr">
        <is>
          <t>O</t>
        </is>
      </c>
      <c r="BX42" s="24" t="inlineStr">
        <is>
          <t>O</t>
        </is>
      </c>
      <c r="BY42" s="24" t="inlineStr">
        <is>
          <t>O</t>
        </is>
      </c>
      <c r="BZ42" s="24" t="inlineStr">
        <is>
          <t>O</t>
        </is>
      </c>
      <c r="CA42" s="24" t="inlineStr">
        <is>
          <t>O</t>
        </is>
      </c>
      <c r="CB42" s="24" t="inlineStr">
        <is>
          <t>O</t>
        </is>
      </c>
      <c r="CC42" s="24" t="inlineStr">
        <is>
          <t>O</t>
        </is>
      </c>
      <c r="CD42" s="24" t="inlineStr">
        <is>
          <t>O</t>
        </is>
      </c>
      <c r="CE42" s="24" t="inlineStr">
        <is>
          <t>O</t>
        </is>
      </c>
      <c r="CF42" s="24" t="inlineStr">
        <is>
          <t>O</t>
        </is>
      </c>
      <c r="CG42" s="24" t="inlineStr">
        <is>
          <t>O</t>
        </is>
      </c>
      <c r="CH42" s="24" t="inlineStr">
        <is>
          <t>O</t>
        </is>
      </c>
      <c r="CI42" s="24" t="inlineStr">
        <is>
          <t>O</t>
        </is>
      </c>
      <c r="CJ42" s="24" t="inlineStr">
        <is>
          <t>O</t>
        </is>
      </c>
      <c r="CK42" s="24" t="inlineStr">
        <is>
          <t>O</t>
        </is>
      </c>
      <c r="CL42" s="24" t="inlineStr">
        <is>
          <t>O</t>
        </is>
      </c>
      <c r="CM42" s="24" t="inlineStr">
        <is>
          <t>O</t>
        </is>
      </c>
      <c r="CN42" s="24" t="inlineStr">
        <is>
          <t>O</t>
        </is>
      </c>
      <c r="CO42" s="24" t="inlineStr">
        <is>
          <t>O</t>
        </is>
      </c>
      <c r="CP42" s="24" t="inlineStr">
        <is>
          <t>O</t>
        </is>
      </c>
      <c r="CQ42" s="24" t="inlineStr">
        <is>
          <t>O</t>
        </is>
      </c>
      <c r="CR42" s="24" t="inlineStr">
        <is>
          <t>O</t>
        </is>
      </c>
      <c r="CS42" s="24" t="inlineStr">
        <is>
          <t>O</t>
        </is>
      </c>
      <c r="CT42" s="24" t="inlineStr">
        <is>
          <t>O</t>
        </is>
      </c>
      <c r="CU42" s="24" t="inlineStr">
        <is>
          <t>O</t>
        </is>
      </c>
      <c r="CV42" s="24" t="inlineStr">
        <is>
          <t>O</t>
        </is>
      </c>
      <c r="CW42" s="24" t="inlineStr">
        <is>
          <t>O</t>
        </is>
      </c>
      <c r="CX42" s="24" t="inlineStr">
        <is>
          <t>O</t>
        </is>
      </c>
      <c r="CY42" s="24" t="inlineStr">
        <is>
          <t>O</t>
        </is>
      </c>
      <c r="CZ42" s="24" t="inlineStr">
        <is>
          <t>O</t>
        </is>
      </c>
      <c r="DA42" s="24" t="inlineStr">
        <is>
          <t>O</t>
        </is>
      </c>
      <c r="DB42" s="24" t="inlineStr">
        <is>
          <t>O</t>
        </is>
      </c>
      <c r="DC42" s="24" t="inlineStr">
        <is>
          <t>O</t>
        </is>
      </c>
      <c r="DD42" s="24" t="inlineStr">
        <is>
          <t>O</t>
        </is>
      </c>
      <c r="DE42" s="24" t="inlineStr">
        <is>
          <t>O</t>
        </is>
      </c>
      <c r="DF42" s="24" t="inlineStr">
        <is>
          <t>O</t>
        </is>
      </c>
      <c r="DG42" s="24" t="inlineStr">
        <is>
          <t>O</t>
        </is>
      </c>
      <c r="DH42" s="24" t="inlineStr">
        <is>
          <t>O</t>
        </is>
      </c>
      <c r="DI42" s="24" t="inlineStr">
        <is>
          <t>O</t>
        </is>
      </c>
      <c r="DJ42" s="24" t="inlineStr">
        <is>
          <t>O</t>
        </is>
      </c>
      <c r="DK42" s="24" t="inlineStr">
        <is>
          <t>O</t>
        </is>
      </c>
      <c r="DL42" s="24" t="inlineStr">
        <is>
          <t>O</t>
        </is>
      </c>
      <c r="DM42" s="24" t="inlineStr">
        <is>
          <t>O</t>
        </is>
      </c>
      <c r="DN42" s="24" t="inlineStr">
        <is>
          <t>O</t>
        </is>
      </c>
      <c r="DO42" s="24" t="inlineStr">
        <is>
          <t>O</t>
        </is>
      </c>
      <c r="DP42" s="24" t="inlineStr">
        <is>
          <t>O</t>
        </is>
      </c>
      <c r="DQ42" s="24" t="inlineStr">
        <is>
          <t>O</t>
        </is>
      </c>
      <c r="DR42" s="24" t="inlineStr">
        <is>
          <t>O</t>
        </is>
      </c>
      <c r="DS42" s="24" t="inlineStr">
        <is>
          <t>O</t>
        </is>
      </c>
      <c r="DT42" s="24" t="inlineStr">
        <is>
          <t>O</t>
        </is>
      </c>
      <c r="DU42" s="24" t="inlineStr">
        <is>
          <t>O</t>
        </is>
      </c>
      <c r="DV42" s="24" t="inlineStr">
        <is>
          <t>O</t>
        </is>
      </c>
      <c r="DW42" s="24" t="inlineStr">
        <is>
          <t>O</t>
        </is>
      </c>
      <c r="DX42" s="24" t="inlineStr">
        <is>
          <t>O</t>
        </is>
      </c>
      <c r="DY42" s="24" t="inlineStr">
        <is>
          <t>O</t>
        </is>
      </c>
      <c r="DZ42" s="24" t="inlineStr">
        <is>
          <t>O</t>
        </is>
      </c>
      <c r="EA42" s="24" t="inlineStr">
        <is>
          <t>O</t>
        </is>
      </c>
      <c r="EB42" s="24" t="inlineStr">
        <is>
          <t>O</t>
        </is>
      </c>
      <c r="EC42" s="24" t="inlineStr">
        <is>
          <t>O</t>
        </is>
      </c>
      <c r="ED42" s="24" t="inlineStr">
        <is>
          <t>O</t>
        </is>
      </c>
      <c r="EE42" s="24" t="inlineStr">
        <is>
          <t>O</t>
        </is>
      </c>
      <c r="EF42" s="24" t="inlineStr">
        <is>
          <t>O</t>
        </is>
      </c>
      <c r="EG42" s="24" t="inlineStr">
        <is>
          <t>O</t>
        </is>
      </c>
      <c r="EH42" s="24" t="inlineStr">
        <is>
          <t>O</t>
        </is>
      </c>
      <c r="EI42" s="24" t="inlineStr">
        <is>
          <t>O</t>
        </is>
      </c>
      <c r="EJ42" s="24" t="inlineStr">
        <is>
          <t>O</t>
        </is>
      </c>
      <c r="EK42" s="24" t="inlineStr">
        <is>
          <t>O</t>
        </is>
      </c>
      <c r="EL42" s="24" t="inlineStr">
        <is>
          <t>O</t>
        </is>
      </c>
      <c r="EM42" s="24" t="inlineStr">
        <is>
          <t>O</t>
        </is>
      </c>
      <c r="EN42" s="24" t="inlineStr">
        <is>
          <t>O</t>
        </is>
      </c>
      <c r="EO42" s="24" t="inlineStr">
        <is>
          <t>O</t>
        </is>
      </c>
      <c r="EP42" s="24" t="inlineStr">
        <is>
          <t>O</t>
        </is>
      </c>
      <c r="EQ42" s="24" t="inlineStr">
        <is>
          <t>O</t>
        </is>
      </c>
      <c r="ER42" s="24" t="inlineStr">
        <is>
          <t>O</t>
        </is>
      </c>
      <c r="ES42" s="24" t="inlineStr">
        <is>
          <t>O</t>
        </is>
      </c>
      <c r="ET42" s="24" t="inlineStr">
        <is>
          <t>O</t>
        </is>
      </c>
      <c r="EU42" s="24" t="inlineStr">
        <is>
          <t>O</t>
        </is>
      </c>
      <c r="EV42" s="24" t="inlineStr">
        <is>
          <t>O</t>
        </is>
      </c>
      <c r="EW42" s="24" t="inlineStr">
        <is>
          <t>O</t>
        </is>
      </c>
      <c r="EX42" s="24" t="inlineStr">
        <is>
          <t>O</t>
        </is>
      </c>
      <c r="EY42" s="24" t="inlineStr">
        <is>
          <t>O</t>
        </is>
      </c>
      <c r="EZ42" s="24" t="inlineStr">
        <is>
          <t>O</t>
        </is>
      </c>
      <c r="FA42" s="24" t="inlineStr">
        <is>
          <t>O</t>
        </is>
      </c>
      <c r="FB42" s="24" t="inlineStr">
        <is>
          <t>O</t>
        </is>
      </c>
      <c r="FC42" s="24" t="inlineStr">
        <is>
          <t>O</t>
        </is>
      </c>
      <c r="FD42" s="24" t="inlineStr">
        <is>
          <t>O</t>
        </is>
      </c>
      <c r="FE42" s="24" t="inlineStr">
        <is>
          <t>O</t>
        </is>
      </c>
      <c r="FF42" s="24" t="inlineStr">
        <is>
          <t>O</t>
        </is>
      </c>
      <c r="FG42" s="24" t="inlineStr">
        <is>
          <t>O</t>
        </is>
      </c>
      <c r="FH42" s="24" t="inlineStr">
        <is>
          <t>O</t>
        </is>
      </c>
      <c r="FI42" s="24" t="inlineStr">
        <is>
          <t>O</t>
        </is>
      </c>
      <c r="FJ42" s="24" t="inlineStr">
        <is>
          <t>O</t>
        </is>
      </c>
      <c r="FK42" s="24" t="inlineStr">
        <is>
          <t>O</t>
        </is>
      </c>
      <c r="FL42" s="24" t="inlineStr">
        <is>
          <t>O</t>
        </is>
      </c>
      <c r="FM42" s="24" t="inlineStr">
        <is>
          <t>O</t>
        </is>
      </c>
      <c r="FN42" s="24" t="inlineStr">
        <is>
          <t>O</t>
        </is>
      </c>
      <c r="FO42" s="24" t="inlineStr">
        <is>
          <t>O</t>
        </is>
      </c>
      <c r="FP42" s="24" t="inlineStr">
        <is>
          <t>O</t>
        </is>
      </c>
      <c r="FQ42" s="24" t="inlineStr">
        <is>
          <t>O</t>
        </is>
      </c>
      <c r="FR42" s="24" t="inlineStr">
        <is>
          <t>O</t>
        </is>
      </c>
      <c r="FS42" s="24" t="inlineStr">
        <is>
          <t>O</t>
        </is>
      </c>
      <c r="FT42" s="24" t="inlineStr">
        <is>
          <t>O</t>
        </is>
      </c>
      <c r="FU42" s="24" t="inlineStr">
        <is>
          <t>O</t>
        </is>
      </c>
      <c r="FV42" s="24" t="inlineStr">
        <is>
          <t>O</t>
        </is>
      </c>
      <c r="FW42" s="24" t="inlineStr">
        <is>
          <t>O</t>
        </is>
      </c>
      <c r="FX42" s="24" t="inlineStr">
        <is>
          <t>O</t>
        </is>
      </c>
      <c r="FY42" s="24" t="inlineStr">
        <is>
          <t>O</t>
        </is>
      </c>
      <c r="FZ42" s="24" t="inlineStr">
        <is>
          <t>O</t>
        </is>
      </c>
      <c r="GA42" s="24" t="inlineStr">
        <is>
          <t>O</t>
        </is>
      </c>
      <c r="GB42" s="24" t="inlineStr">
        <is>
          <t>O</t>
        </is>
      </c>
      <c r="GC42" s="24" t="inlineStr">
        <is>
          <t>O</t>
        </is>
      </c>
      <c r="GD42" s="24" t="inlineStr">
        <is>
          <t>O</t>
        </is>
      </c>
      <c r="GE42" s="24" t="inlineStr">
        <is>
          <t>O</t>
        </is>
      </c>
      <c r="GF42" s="24" t="inlineStr">
        <is>
          <t>O</t>
        </is>
      </c>
      <c r="GG42" s="24" t="inlineStr">
        <is>
          <t>O</t>
        </is>
      </c>
      <c r="GH42" s="24" t="inlineStr">
        <is>
          <t>O</t>
        </is>
      </c>
      <c r="GI42" s="24" t="inlineStr">
        <is>
          <t>O</t>
        </is>
      </c>
      <c r="GJ42" s="24" t="inlineStr">
        <is>
          <t>O</t>
        </is>
      </c>
      <c r="GK42" s="24" t="inlineStr">
        <is>
          <t>O</t>
        </is>
      </c>
      <c r="GL42" s="24" t="inlineStr">
        <is>
          <t>O</t>
        </is>
      </c>
      <c r="GM42" s="24" t="inlineStr">
        <is>
          <t>O</t>
        </is>
      </c>
      <c r="GN42" s="24" t="inlineStr">
        <is>
          <t>O</t>
        </is>
      </c>
      <c r="GO42" s="24" t="inlineStr">
        <is>
          <t>O</t>
        </is>
      </c>
      <c r="GP42" s="24" t="inlineStr">
        <is>
          <t>O</t>
        </is>
      </c>
      <c r="GQ42" s="24" t="inlineStr">
        <is>
          <t>O</t>
        </is>
      </c>
      <c r="GR42" s="24" t="inlineStr">
        <is>
          <t>O</t>
        </is>
      </c>
      <c r="GS42" s="24" t="inlineStr">
        <is>
          <t>O</t>
        </is>
      </c>
      <c r="GT42" s="24" t="inlineStr">
        <is>
          <t>O</t>
        </is>
      </c>
      <c r="GU42" s="24" t="inlineStr">
        <is>
          <t>O</t>
        </is>
      </c>
      <c r="GV42" s="24" t="inlineStr">
        <is>
          <t>O</t>
        </is>
      </c>
      <c r="GW42" s="24" t="inlineStr">
        <is>
          <t>O</t>
        </is>
      </c>
      <c r="GX42" s="24" t="inlineStr">
        <is>
          <t>O</t>
        </is>
      </c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4" t="n"/>
      <c r="GM43" s="4" t="n"/>
      <c r="GN43" s="4" t="n"/>
      <c r="GO43" s="4" t="n"/>
      <c r="GP43" s="4" t="n"/>
      <c r="GQ43" s="4" t="n"/>
      <c r="GR43" s="4" t="n"/>
      <c r="GS43" s="4" t="n"/>
      <c r="GT43" s="4" t="n"/>
      <c r="GU43" s="4" t="n"/>
      <c r="GV43" s="4" t="n"/>
      <c r="GW43" s="4" t="n"/>
      <c r="GX43" s="4" t="n"/>
    </row>
    <row r="44">
      <c r="A44" s="16" t="n"/>
      <c r="B44" s="18" t="inlineStr">
        <is>
          <t>expectSuccess</t>
        </is>
      </c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4" t="n"/>
      <c r="GM44" s="4" t="n"/>
      <c r="GN44" s="4" t="n"/>
      <c r="GO44" s="4" t="n"/>
      <c r="GP44" s="4" t="n"/>
      <c r="GQ44" s="4" t="n"/>
      <c r="GR44" s="4" t="n"/>
      <c r="GS44" s="4" t="n"/>
      <c r="GT44" s="4" t="n"/>
      <c r="GU44" s="4" t="n"/>
      <c r="GV44" s="4" t="n"/>
      <c r="GW44" s="4" t="n"/>
      <c r="GX44" s="4" t="n"/>
    </row>
    <row r="45">
      <c r="A45" s="16" t="n"/>
      <c r="B45" s="19" t="n"/>
      <c r="C45" s="19" t="n"/>
      <c r="D45" s="23" t="inlineStr">
        <is>
          <t>value per TC</t>
        </is>
      </c>
      <c r="E45" s="22" t="n"/>
      <c r="F45" s="24" t="inlineStr">
        <is>
          <t>O</t>
        </is>
      </c>
      <c r="G45" s="24" t="inlineStr">
        <is>
          <t>O</t>
        </is>
      </c>
      <c r="H45" s="24" t="inlineStr">
        <is>
          <t>O</t>
        </is>
      </c>
      <c r="I45" s="24" t="inlineStr">
        <is>
          <t>O</t>
        </is>
      </c>
      <c r="J45" s="24" t="inlineStr">
        <is>
          <t>O</t>
        </is>
      </c>
      <c r="K45" s="24" t="inlineStr">
        <is>
          <t>O</t>
        </is>
      </c>
      <c r="L45" s="24" t="inlineStr">
        <is>
          <t>O</t>
        </is>
      </c>
      <c r="M45" s="24" t="inlineStr">
        <is>
          <t>O</t>
        </is>
      </c>
      <c r="N45" s="24" t="inlineStr">
        <is>
          <t>O</t>
        </is>
      </c>
      <c r="O45" s="24" t="inlineStr">
        <is>
          <t>O</t>
        </is>
      </c>
      <c r="P45" s="24" t="inlineStr">
        <is>
          <t>O</t>
        </is>
      </c>
      <c r="Q45" s="24" t="inlineStr">
        <is>
          <t>O</t>
        </is>
      </c>
      <c r="R45" s="24" t="inlineStr">
        <is>
          <t>O</t>
        </is>
      </c>
      <c r="S45" s="24" t="inlineStr">
        <is>
          <t>O</t>
        </is>
      </c>
      <c r="T45" s="24" t="inlineStr">
        <is>
          <t>O</t>
        </is>
      </c>
      <c r="U45" s="24" t="inlineStr">
        <is>
          <t>O</t>
        </is>
      </c>
      <c r="V45" s="24" t="inlineStr">
        <is>
          <t>O</t>
        </is>
      </c>
      <c r="W45" s="24" t="inlineStr">
        <is>
          <t>O</t>
        </is>
      </c>
      <c r="X45" s="24" t="inlineStr">
        <is>
          <t>O</t>
        </is>
      </c>
      <c r="Y45" s="24" t="inlineStr">
        <is>
          <t>O</t>
        </is>
      </c>
      <c r="Z45" s="24" t="inlineStr">
        <is>
          <t>O</t>
        </is>
      </c>
      <c r="AA45" s="24" t="inlineStr">
        <is>
          <t>O</t>
        </is>
      </c>
      <c r="AB45" s="24" t="inlineStr">
        <is>
          <t>O</t>
        </is>
      </c>
      <c r="AC45" s="24" t="inlineStr">
        <is>
          <t>O</t>
        </is>
      </c>
      <c r="AD45" s="24" t="inlineStr">
        <is>
          <t>O</t>
        </is>
      </c>
      <c r="AE45" s="24" t="inlineStr">
        <is>
          <t>O</t>
        </is>
      </c>
      <c r="AF45" s="24" t="inlineStr">
        <is>
          <t>O</t>
        </is>
      </c>
      <c r="AG45" s="24" t="inlineStr">
        <is>
          <t>O</t>
        </is>
      </c>
      <c r="AH45" s="24" t="inlineStr">
        <is>
          <t>O</t>
        </is>
      </c>
      <c r="AI45" s="24" t="inlineStr">
        <is>
          <t>O</t>
        </is>
      </c>
      <c r="AJ45" s="24" t="inlineStr">
        <is>
          <t>O</t>
        </is>
      </c>
      <c r="AK45" s="24" t="inlineStr">
        <is>
          <t>O</t>
        </is>
      </c>
      <c r="AL45" s="24" t="inlineStr">
        <is>
          <t>O</t>
        </is>
      </c>
      <c r="AM45" s="24" t="inlineStr">
        <is>
          <t>O</t>
        </is>
      </c>
      <c r="AN45" s="24" t="inlineStr">
        <is>
          <t>O</t>
        </is>
      </c>
      <c r="AO45" s="24" t="inlineStr">
        <is>
          <t>O</t>
        </is>
      </c>
      <c r="AP45" s="24" t="inlineStr">
        <is>
          <t>O</t>
        </is>
      </c>
      <c r="AQ45" s="24" t="inlineStr">
        <is>
          <t>O</t>
        </is>
      </c>
      <c r="AR45" s="24" t="inlineStr">
        <is>
          <t>O</t>
        </is>
      </c>
      <c r="AS45" s="24" t="inlineStr">
        <is>
          <t>O</t>
        </is>
      </c>
      <c r="AT45" s="24" t="inlineStr">
        <is>
          <t>O</t>
        </is>
      </c>
      <c r="AU45" s="24" t="inlineStr">
        <is>
          <t>O</t>
        </is>
      </c>
      <c r="AV45" s="24" t="inlineStr">
        <is>
          <t>O</t>
        </is>
      </c>
      <c r="AW45" s="24" t="inlineStr">
        <is>
          <t>O</t>
        </is>
      </c>
      <c r="AX45" s="24" t="inlineStr">
        <is>
          <t>O</t>
        </is>
      </c>
      <c r="AY45" s="24" t="inlineStr">
        <is>
          <t>O</t>
        </is>
      </c>
      <c r="AZ45" s="24" t="inlineStr">
        <is>
          <t>O</t>
        </is>
      </c>
      <c r="BA45" s="24" t="inlineStr">
        <is>
          <t>O</t>
        </is>
      </c>
      <c r="BB45" s="24" t="inlineStr">
        <is>
          <t>O</t>
        </is>
      </c>
      <c r="BC45" s="24" t="inlineStr">
        <is>
          <t>O</t>
        </is>
      </c>
      <c r="BD45" s="24" t="inlineStr">
        <is>
          <t>O</t>
        </is>
      </c>
      <c r="BE45" s="24" t="inlineStr">
        <is>
          <t>O</t>
        </is>
      </c>
      <c r="BF45" s="24" t="inlineStr">
        <is>
          <t>O</t>
        </is>
      </c>
      <c r="BG45" s="24" t="inlineStr">
        <is>
          <t>O</t>
        </is>
      </c>
      <c r="BH45" s="24" t="inlineStr">
        <is>
          <t>O</t>
        </is>
      </c>
      <c r="BI45" s="24" t="inlineStr">
        <is>
          <t>O</t>
        </is>
      </c>
      <c r="BJ45" s="24" t="inlineStr">
        <is>
          <t>O</t>
        </is>
      </c>
      <c r="BK45" s="24" t="inlineStr">
        <is>
          <t>O</t>
        </is>
      </c>
      <c r="BL45" s="24" t="inlineStr">
        <is>
          <t>O</t>
        </is>
      </c>
      <c r="BM45" s="24" t="inlineStr">
        <is>
          <t>O</t>
        </is>
      </c>
      <c r="BN45" s="24" t="inlineStr">
        <is>
          <t>O</t>
        </is>
      </c>
      <c r="BO45" s="24" t="inlineStr">
        <is>
          <t>O</t>
        </is>
      </c>
      <c r="BP45" s="24" t="inlineStr">
        <is>
          <t>O</t>
        </is>
      </c>
      <c r="BQ45" s="24" t="inlineStr">
        <is>
          <t>O</t>
        </is>
      </c>
      <c r="BR45" s="24" t="inlineStr">
        <is>
          <t>O</t>
        </is>
      </c>
      <c r="BS45" s="24" t="inlineStr">
        <is>
          <t>O</t>
        </is>
      </c>
      <c r="BT45" s="24" t="inlineStr">
        <is>
          <t>O</t>
        </is>
      </c>
      <c r="BU45" s="24" t="inlineStr">
        <is>
          <t>O</t>
        </is>
      </c>
      <c r="BV45" s="24" t="inlineStr">
        <is>
          <t>O</t>
        </is>
      </c>
      <c r="BW45" s="24" t="inlineStr">
        <is>
          <t>O</t>
        </is>
      </c>
      <c r="BX45" s="24" t="inlineStr">
        <is>
          <t>O</t>
        </is>
      </c>
      <c r="BY45" s="24" t="inlineStr">
        <is>
          <t>O</t>
        </is>
      </c>
      <c r="BZ45" s="24" t="inlineStr">
        <is>
          <t>O</t>
        </is>
      </c>
      <c r="CA45" s="24" t="inlineStr">
        <is>
          <t>O</t>
        </is>
      </c>
      <c r="CB45" s="24" t="inlineStr">
        <is>
          <t>O</t>
        </is>
      </c>
      <c r="CC45" s="24" t="inlineStr">
        <is>
          <t>O</t>
        </is>
      </c>
      <c r="CD45" s="24" t="inlineStr">
        <is>
          <t>O</t>
        </is>
      </c>
      <c r="CE45" s="24" t="inlineStr">
        <is>
          <t>O</t>
        </is>
      </c>
      <c r="CF45" s="24" t="inlineStr">
        <is>
          <t>O</t>
        </is>
      </c>
      <c r="CG45" s="24" t="inlineStr">
        <is>
          <t>O</t>
        </is>
      </c>
      <c r="CH45" s="24" t="inlineStr">
        <is>
          <t>O</t>
        </is>
      </c>
      <c r="CI45" s="24" t="inlineStr">
        <is>
          <t>O</t>
        </is>
      </c>
      <c r="CJ45" s="24" t="inlineStr">
        <is>
          <t>O</t>
        </is>
      </c>
      <c r="CK45" s="24" t="inlineStr">
        <is>
          <t>O</t>
        </is>
      </c>
      <c r="CL45" s="24" t="inlineStr">
        <is>
          <t>O</t>
        </is>
      </c>
      <c r="CM45" s="24" t="inlineStr">
        <is>
          <t>O</t>
        </is>
      </c>
      <c r="CN45" s="24" t="inlineStr">
        <is>
          <t>O</t>
        </is>
      </c>
      <c r="CO45" s="24" t="inlineStr">
        <is>
          <t>O</t>
        </is>
      </c>
      <c r="CP45" s="24" t="inlineStr">
        <is>
          <t>O</t>
        </is>
      </c>
      <c r="CQ45" s="24" t="inlineStr">
        <is>
          <t>O</t>
        </is>
      </c>
      <c r="CR45" s="24" t="inlineStr">
        <is>
          <t>O</t>
        </is>
      </c>
      <c r="CS45" s="24" t="inlineStr">
        <is>
          <t>O</t>
        </is>
      </c>
      <c r="CT45" s="24" t="inlineStr">
        <is>
          <t>O</t>
        </is>
      </c>
      <c r="CU45" s="24" t="inlineStr">
        <is>
          <t>O</t>
        </is>
      </c>
      <c r="CV45" s="24" t="inlineStr">
        <is>
          <t>O</t>
        </is>
      </c>
      <c r="CW45" s="24" t="inlineStr">
        <is>
          <t>O</t>
        </is>
      </c>
      <c r="CX45" s="24" t="inlineStr">
        <is>
          <t>O</t>
        </is>
      </c>
      <c r="CY45" s="24" t="inlineStr">
        <is>
          <t>O</t>
        </is>
      </c>
      <c r="CZ45" s="24" t="inlineStr">
        <is>
          <t>O</t>
        </is>
      </c>
      <c r="DA45" s="24" t="inlineStr">
        <is>
          <t>O</t>
        </is>
      </c>
      <c r="DB45" s="24" t="inlineStr">
        <is>
          <t>O</t>
        </is>
      </c>
      <c r="DC45" s="24" t="inlineStr">
        <is>
          <t>O</t>
        </is>
      </c>
      <c r="DD45" s="24" t="inlineStr">
        <is>
          <t>O</t>
        </is>
      </c>
      <c r="DE45" s="24" t="inlineStr">
        <is>
          <t>O</t>
        </is>
      </c>
      <c r="DF45" s="24" t="inlineStr">
        <is>
          <t>O</t>
        </is>
      </c>
      <c r="DG45" s="24" t="inlineStr">
        <is>
          <t>O</t>
        </is>
      </c>
      <c r="DH45" s="24" t="inlineStr">
        <is>
          <t>O</t>
        </is>
      </c>
      <c r="DI45" s="24" t="inlineStr">
        <is>
          <t>O</t>
        </is>
      </c>
      <c r="DJ45" s="24" t="inlineStr">
        <is>
          <t>O</t>
        </is>
      </c>
      <c r="DK45" s="24" t="inlineStr">
        <is>
          <t>O</t>
        </is>
      </c>
      <c r="DL45" s="24" t="inlineStr">
        <is>
          <t>O</t>
        </is>
      </c>
      <c r="DM45" s="24" t="inlineStr">
        <is>
          <t>O</t>
        </is>
      </c>
      <c r="DN45" s="24" t="inlineStr">
        <is>
          <t>O</t>
        </is>
      </c>
      <c r="DO45" s="24" t="inlineStr">
        <is>
          <t>O</t>
        </is>
      </c>
      <c r="DP45" s="24" t="inlineStr">
        <is>
          <t>O</t>
        </is>
      </c>
      <c r="DQ45" s="24" t="inlineStr">
        <is>
          <t>O</t>
        </is>
      </c>
      <c r="DR45" s="24" t="inlineStr">
        <is>
          <t>O</t>
        </is>
      </c>
      <c r="DS45" s="24" t="inlineStr">
        <is>
          <t>O</t>
        </is>
      </c>
      <c r="DT45" s="24" t="inlineStr">
        <is>
          <t>O</t>
        </is>
      </c>
      <c r="DU45" s="24" t="inlineStr">
        <is>
          <t>O</t>
        </is>
      </c>
      <c r="DV45" s="24" t="inlineStr">
        <is>
          <t>O</t>
        </is>
      </c>
      <c r="DW45" s="24" t="inlineStr">
        <is>
          <t>O</t>
        </is>
      </c>
      <c r="DX45" s="24" t="inlineStr">
        <is>
          <t>O</t>
        </is>
      </c>
      <c r="DY45" s="24" t="inlineStr">
        <is>
          <t>O</t>
        </is>
      </c>
      <c r="DZ45" s="24" t="inlineStr">
        <is>
          <t>O</t>
        </is>
      </c>
      <c r="EA45" s="24" t="inlineStr">
        <is>
          <t>O</t>
        </is>
      </c>
      <c r="EB45" s="24" t="inlineStr">
        <is>
          <t>O</t>
        </is>
      </c>
      <c r="EC45" s="24" t="inlineStr">
        <is>
          <t>O</t>
        </is>
      </c>
      <c r="ED45" s="24" t="inlineStr">
        <is>
          <t>O</t>
        </is>
      </c>
      <c r="EE45" s="24" t="inlineStr">
        <is>
          <t>O</t>
        </is>
      </c>
      <c r="EF45" s="24" t="inlineStr">
        <is>
          <t>O</t>
        </is>
      </c>
      <c r="EG45" s="24" t="inlineStr">
        <is>
          <t>O</t>
        </is>
      </c>
      <c r="EH45" s="24" t="inlineStr">
        <is>
          <t>O</t>
        </is>
      </c>
      <c r="EI45" s="24" t="inlineStr">
        <is>
          <t>O</t>
        </is>
      </c>
      <c r="EJ45" s="24" t="inlineStr">
        <is>
          <t>O</t>
        </is>
      </c>
      <c r="EK45" s="24" t="inlineStr">
        <is>
          <t>O</t>
        </is>
      </c>
      <c r="EL45" s="24" t="inlineStr">
        <is>
          <t>O</t>
        </is>
      </c>
      <c r="EM45" s="24" t="inlineStr">
        <is>
          <t>O</t>
        </is>
      </c>
      <c r="EN45" s="24" t="inlineStr">
        <is>
          <t>O</t>
        </is>
      </c>
      <c r="EO45" s="24" t="inlineStr">
        <is>
          <t>O</t>
        </is>
      </c>
      <c r="EP45" s="24" t="inlineStr">
        <is>
          <t>O</t>
        </is>
      </c>
      <c r="EQ45" s="24" t="inlineStr">
        <is>
          <t>O</t>
        </is>
      </c>
      <c r="ER45" s="24" t="inlineStr">
        <is>
          <t>O</t>
        </is>
      </c>
      <c r="ES45" s="24" t="inlineStr">
        <is>
          <t>O</t>
        </is>
      </c>
      <c r="ET45" s="24" t="inlineStr">
        <is>
          <t>O</t>
        </is>
      </c>
      <c r="EU45" s="24" t="inlineStr">
        <is>
          <t>O</t>
        </is>
      </c>
      <c r="EV45" s="24" t="inlineStr">
        <is>
          <t>O</t>
        </is>
      </c>
      <c r="EW45" s="24" t="inlineStr">
        <is>
          <t>O</t>
        </is>
      </c>
      <c r="EX45" s="24" t="inlineStr">
        <is>
          <t>O</t>
        </is>
      </c>
      <c r="EY45" s="24" t="inlineStr">
        <is>
          <t>O</t>
        </is>
      </c>
      <c r="EZ45" s="24" t="inlineStr">
        <is>
          <t>O</t>
        </is>
      </c>
      <c r="FA45" s="24" t="inlineStr">
        <is>
          <t>O</t>
        </is>
      </c>
      <c r="FB45" s="24" t="inlineStr">
        <is>
          <t>O</t>
        </is>
      </c>
      <c r="FC45" s="24" t="inlineStr">
        <is>
          <t>O</t>
        </is>
      </c>
      <c r="FD45" s="24" t="inlineStr">
        <is>
          <t>O</t>
        </is>
      </c>
      <c r="FE45" s="24" t="inlineStr">
        <is>
          <t>O</t>
        </is>
      </c>
      <c r="FF45" s="24" t="inlineStr">
        <is>
          <t>O</t>
        </is>
      </c>
      <c r="FG45" s="24" t="inlineStr">
        <is>
          <t>O</t>
        </is>
      </c>
      <c r="FH45" s="24" t="inlineStr">
        <is>
          <t>O</t>
        </is>
      </c>
      <c r="FI45" s="24" t="inlineStr">
        <is>
          <t>O</t>
        </is>
      </c>
      <c r="FJ45" s="24" t="inlineStr">
        <is>
          <t>O</t>
        </is>
      </c>
      <c r="FK45" s="24" t="inlineStr">
        <is>
          <t>O</t>
        </is>
      </c>
      <c r="FL45" s="24" t="inlineStr">
        <is>
          <t>O</t>
        </is>
      </c>
      <c r="FM45" s="24" t="inlineStr">
        <is>
          <t>O</t>
        </is>
      </c>
      <c r="FN45" s="24" t="inlineStr">
        <is>
          <t>O</t>
        </is>
      </c>
      <c r="FO45" s="24" t="inlineStr">
        <is>
          <t>O</t>
        </is>
      </c>
      <c r="FP45" s="24" t="inlineStr">
        <is>
          <t>O</t>
        </is>
      </c>
      <c r="FQ45" s="24" t="inlineStr">
        <is>
          <t>O</t>
        </is>
      </c>
      <c r="FR45" s="24" t="inlineStr">
        <is>
          <t>O</t>
        </is>
      </c>
      <c r="FS45" s="24" t="inlineStr">
        <is>
          <t>O</t>
        </is>
      </c>
      <c r="FT45" s="24" t="inlineStr">
        <is>
          <t>O</t>
        </is>
      </c>
      <c r="FU45" s="24" t="inlineStr">
        <is>
          <t>O</t>
        </is>
      </c>
      <c r="FV45" s="24" t="inlineStr">
        <is>
          <t>O</t>
        </is>
      </c>
      <c r="FW45" s="24" t="inlineStr">
        <is>
          <t>O</t>
        </is>
      </c>
      <c r="FX45" s="24" t="inlineStr">
        <is>
          <t>O</t>
        </is>
      </c>
      <c r="FY45" s="24" t="inlineStr">
        <is>
          <t>O</t>
        </is>
      </c>
      <c r="FZ45" s="24" t="inlineStr">
        <is>
          <t>O</t>
        </is>
      </c>
      <c r="GA45" s="24" t="inlineStr">
        <is>
          <t>O</t>
        </is>
      </c>
      <c r="GB45" s="24" t="inlineStr">
        <is>
          <t>O</t>
        </is>
      </c>
      <c r="GC45" s="24" t="inlineStr">
        <is>
          <t>O</t>
        </is>
      </c>
      <c r="GD45" s="24" t="inlineStr">
        <is>
          <t>O</t>
        </is>
      </c>
      <c r="GE45" s="24" t="inlineStr">
        <is>
          <t>O</t>
        </is>
      </c>
      <c r="GF45" s="24" t="inlineStr">
        <is>
          <t>O</t>
        </is>
      </c>
      <c r="GG45" s="24" t="inlineStr">
        <is>
          <t>O</t>
        </is>
      </c>
      <c r="GH45" s="24" t="inlineStr">
        <is>
          <t>O</t>
        </is>
      </c>
      <c r="GI45" s="24" t="inlineStr">
        <is>
          <t>O</t>
        </is>
      </c>
      <c r="GJ45" s="24" t="inlineStr">
        <is>
          <t>O</t>
        </is>
      </c>
      <c r="GK45" s="24" t="inlineStr">
        <is>
          <t>O</t>
        </is>
      </c>
      <c r="GL45" s="24" t="inlineStr">
        <is>
          <t>O</t>
        </is>
      </c>
      <c r="GM45" s="24" t="inlineStr">
        <is>
          <t>O</t>
        </is>
      </c>
      <c r="GN45" s="24" t="inlineStr">
        <is>
          <t>O</t>
        </is>
      </c>
      <c r="GO45" s="24" t="inlineStr">
        <is>
          <t>O</t>
        </is>
      </c>
      <c r="GP45" s="24" t="inlineStr">
        <is>
          <t>O</t>
        </is>
      </c>
      <c r="GQ45" s="24" t="inlineStr">
        <is>
          <t>O</t>
        </is>
      </c>
      <c r="GR45" s="24" t="inlineStr">
        <is>
          <t>O</t>
        </is>
      </c>
      <c r="GS45" s="24" t="inlineStr">
        <is>
          <t>O</t>
        </is>
      </c>
      <c r="GT45" s="24" t="inlineStr">
        <is>
          <t>O</t>
        </is>
      </c>
      <c r="GU45" s="24" t="inlineStr">
        <is>
          <t>O</t>
        </is>
      </c>
      <c r="GV45" s="24" t="inlineStr">
        <is>
          <t>O</t>
        </is>
      </c>
      <c r="GW45" s="24" t="inlineStr">
        <is>
          <t>O</t>
        </is>
      </c>
      <c r="GX45" s="24" t="inlineStr">
        <is>
          <t>O</t>
        </is>
      </c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4" t="n"/>
      <c r="GM46" s="4" t="n"/>
      <c r="GN46" s="4" t="n"/>
      <c r="GO46" s="4" t="n"/>
      <c r="GP46" s="4" t="n"/>
      <c r="GQ46" s="4" t="n"/>
      <c r="GR46" s="4" t="n"/>
      <c r="GS46" s="4" t="n"/>
      <c r="GT46" s="4" t="n"/>
      <c r="GU46" s="4" t="n"/>
      <c r="GV46" s="4" t="n"/>
      <c r="GW46" s="4" t="n"/>
      <c r="GX46" s="4" t="n"/>
    </row>
    <row r="47">
      <c r="A47" s="16" t="n"/>
      <c r="B47" s="18" t="inlineStr">
        <is>
          <t>expectedErrorMessage</t>
        </is>
      </c>
      <c r="C47" s="19" t="n"/>
      <c r="D47" s="19" t="n"/>
      <c r="E47" s="22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4" t="n"/>
      <c r="GM47" s="4" t="n"/>
      <c r="GN47" s="4" t="n"/>
      <c r="GO47" s="4" t="n"/>
      <c r="GP47" s="4" t="n"/>
      <c r="GQ47" s="4" t="n"/>
      <c r="GR47" s="4" t="n"/>
      <c r="GS47" s="4" t="n"/>
      <c r="GT47" s="4" t="n"/>
      <c r="GU47" s="4" t="n"/>
      <c r="GV47" s="4" t="n"/>
      <c r="GW47" s="4" t="n"/>
      <c r="GX47" s="4" t="n"/>
    </row>
    <row r="48">
      <c r="A48" s="16" t="n"/>
      <c r="B48" s="19" t="n"/>
      <c r="C48" s="19" t="n"/>
      <c r="D48" s="23" t="inlineStr">
        <is>
          <t>value per TC</t>
        </is>
      </c>
      <c r="E48" s="22" t="n"/>
      <c r="F48" s="24" t="inlineStr">
        <is>
          <t>O</t>
        </is>
      </c>
      <c r="G48" s="24" t="inlineStr">
        <is>
          <t>O</t>
        </is>
      </c>
      <c r="H48" s="24" t="inlineStr">
        <is>
          <t>O</t>
        </is>
      </c>
      <c r="I48" s="24" t="inlineStr">
        <is>
          <t>O</t>
        </is>
      </c>
      <c r="J48" s="24" t="inlineStr">
        <is>
          <t>O</t>
        </is>
      </c>
      <c r="K48" s="24" t="inlineStr">
        <is>
          <t>O</t>
        </is>
      </c>
      <c r="L48" s="24" t="inlineStr">
        <is>
          <t>O</t>
        </is>
      </c>
      <c r="M48" s="24" t="inlineStr">
        <is>
          <t>O</t>
        </is>
      </c>
      <c r="N48" s="24" t="inlineStr">
        <is>
          <t>O</t>
        </is>
      </c>
      <c r="O48" s="24" t="inlineStr">
        <is>
          <t>O</t>
        </is>
      </c>
      <c r="P48" s="24" t="inlineStr">
        <is>
          <t>O</t>
        </is>
      </c>
      <c r="Q48" s="24" t="inlineStr">
        <is>
          <t>O</t>
        </is>
      </c>
      <c r="R48" s="24" t="inlineStr">
        <is>
          <t>O</t>
        </is>
      </c>
      <c r="S48" s="24" t="inlineStr">
        <is>
          <t>O</t>
        </is>
      </c>
      <c r="T48" s="24" t="inlineStr">
        <is>
          <t>O</t>
        </is>
      </c>
      <c r="U48" s="24" t="inlineStr">
        <is>
          <t>O</t>
        </is>
      </c>
      <c r="V48" s="24" t="inlineStr">
        <is>
          <t>O</t>
        </is>
      </c>
      <c r="W48" s="24" t="inlineStr">
        <is>
          <t>O</t>
        </is>
      </c>
      <c r="X48" s="24" t="inlineStr">
        <is>
          <t>O</t>
        </is>
      </c>
      <c r="Y48" s="24" t="inlineStr">
        <is>
          <t>O</t>
        </is>
      </c>
      <c r="Z48" s="24" t="inlineStr">
        <is>
          <t>O</t>
        </is>
      </c>
      <c r="AA48" s="24" t="inlineStr">
        <is>
          <t>O</t>
        </is>
      </c>
      <c r="AB48" s="24" t="inlineStr">
        <is>
          <t>O</t>
        </is>
      </c>
      <c r="AC48" s="24" t="inlineStr">
        <is>
          <t>O</t>
        </is>
      </c>
      <c r="AD48" s="24" t="inlineStr">
        <is>
          <t>O</t>
        </is>
      </c>
      <c r="AE48" s="24" t="inlineStr">
        <is>
          <t>O</t>
        </is>
      </c>
      <c r="AF48" s="24" t="inlineStr">
        <is>
          <t>O</t>
        </is>
      </c>
      <c r="AG48" s="24" t="inlineStr">
        <is>
          <t>O</t>
        </is>
      </c>
      <c r="AH48" s="24" t="inlineStr">
        <is>
          <t>O</t>
        </is>
      </c>
      <c r="AI48" s="24" t="inlineStr">
        <is>
          <t>O</t>
        </is>
      </c>
      <c r="AJ48" s="24" t="inlineStr">
        <is>
          <t>O</t>
        </is>
      </c>
      <c r="AK48" s="24" t="inlineStr">
        <is>
          <t>O</t>
        </is>
      </c>
      <c r="AL48" s="24" t="inlineStr">
        <is>
          <t>O</t>
        </is>
      </c>
      <c r="AM48" s="24" t="inlineStr">
        <is>
          <t>O</t>
        </is>
      </c>
      <c r="AN48" s="24" t="inlineStr">
        <is>
          <t>O</t>
        </is>
      </c>
      <c r="AO48" s="24" t="inlineStr">
        <is>
          <t>O</t>
        </is>
      </c>
      <c r="AP48" s="24" t="inlineStr">
        <is>
          <t>O</t>
        </is>
      </c>
      <c r="AQ48" s="24" t="inlineStr">
        <is>
          <t>O</t>
        </is>
      </c>
      <c r="AR48" s="24" t="inlineStr">
        <is>
          <t>O</t>
        </is>
      </c>
      <c r="AS48" s="24" t="inlineStr">
        <is>
          <t>O</t>
        </is>
      </c>
      <c r="AT48" s="24" t="inlineStr">
        <is>
          <t>O</t>
        </is>
      </c>
      <c r="AU48" s="24" t="inlineStr">
        <is>
          <t>O</t>
        </is>
      </c>
      <c r="AV48" s="24" t="inlineStr">
        <is>
          <t>O</t>
        </is>
      </c>
      <c r="AW48" s="24" t="inlineStr">
        <is>
          <t>O</t>
        </is>
      </c>
      <c r="AX48" s="24" t="inlineStr">
        <is>
          <t>O</t>
        </is>
      </c>
      <c r="AY48" s="24" t="inlineStr">
        <is>
          <t>O</t>
        </is>
      </c>
      <c r="AZ48" s="24" t="inlineStr">
        <is>
          <t>O</t>
        </is>
      </c>
      <c r="BA48" s="24" t="inlineStr">
        <is>
          <t>O</t>
        </is>
      </c>
      <c r="BB48" s="24" t="inlineStr">
        <is>
          <t>O</t>
        </is>
      </c>
      <c r="BC48" s="24" t="inlineStr">
        <is>
          <t>O</t>
        </is>
      </c>
      <c r="BD48" s="24" t="inlineStr">
        <is>
          <t>O</t>
        </is>
      </c>
      <c r="BE48" s="24" t="inlineStr">
        <is>
          <t>O</t>
        </is>
      </c>
      <c r="BF48" s="24" t="inlineStr">
        <is>
          <t>O</t>
        </is>
      </c>
      <c r="BG48" s="24" t="inlineStr">
        <is>
          <t>O</t>
        </is>
      </c>
      <c r="BH48" s="24" t="inlineStr">
        <is>
          <t>O</t>
        </is>
      </c>
      <c r="BI48" s="24" t="inlineStr">
        <is>
          <t>O</t>
        </is>
      </c>
      <c r="BJ48" s="24" t="inlineStr">
        <is>
          <t>O</t>
        </is>
      </c>
      <c r="BK48" s="24" t="inlineStr">
        <is>
          <t>O</t>
        </is>
      </c>
      <c r="BL48" s="24" t="inlineStr">
        <is>
          <t>O</t>
        </is>
      </c>
      <c r="BM48" s="24" t="inlineStr">
        <is>
          <t>O</t>
        </is>
      </c>
      <c r="BN48" s="24" t="inlineStr">
        <is>
          <t>O</t>
        </is>
      </c>
      <c r="BO48" s="24" t="inlineStr">
        <is>
          <t>O</t>
        </is>
      </c>
      <c r="BP48" s="24" t="inlineStr">
        <is>
          <t>O</t>
        </is>
      </c>
      <c r="BQ48" s="24" t="inlineStr">
        <is>
          <t>O</t>
        </is>
      </c>
      <c r="BR48" s="24" t="inlineStr">
        <is>
          <t>O</t>
        </is>
      </c>
      <c r="BS48" s="24" t="inlineStr">
        <is>
          <t>O</t>
        </is>
      </c>
      <c r="BT48" s="24" t="inlineStr">
        <is>
          <t>O</t>
        </is>
      </c>
      <c r="BU48" s="24" t="inlineStr">
        <is>
          <t>O</t>
        </is>
      </c>
      <c r="BV48" s="24" t="inlineStr">
        <is>
          <t>O</t>
        </is>
      </c>
      <c r="BW48" s="24" t="inlineStr">
        <is>
          <t>O</t>
        </is>
      </c>
      <c r="BX48" s="24" t="inlineStr">
        <is>
          <t>O</t>
        </is>
      </c>
      <c r="BY48" s="24" t="inlineStr">
        <is>
          <t>O</t>
        </is>
      </c>
      <c r="BZ48" s="24" t="inlineStr">
        <is>
          <t>O</t>
        </is>
      </c>
      <c r="CA48" s="24" t="inlineStr">
        <is>
          <t>O</t>
        </is>
      </c>
      <c r="CB48" s="24" t="inlineStr">
        <is>
          <t>O</t>
        </is>
      </c>
      <c r="CC48" s="24" t="inlineStr">
        <is>
          <t>O</t>
        </is>
      </c>
      <c r="CD48" s="24" t="inlineStr">
        <is>
          <t>O</t>
        </is>
      </c>
      <c r="CE48" s="24" t="inlineStr">
        <is>
          <t>O</t>
        </is>
      </c>
      <c r="CF48" s="24" t="inlineStr">
        <is>
          <t>O</t>
        </is>
      </c>
      <c r="CG48" s="24" t="inlineStr">
        <is>
          <t>O</t>
        </is>
      </c>
      <c r="CH48" s="24" t="inlineStr">
        <is>
          <t>O</t>
        </is>
      </c>
      <c r="CI48" s="24" t="inlineStr">
        <is>
          <t>O</t>
        </is>
      </c>
      <c r="CJ48" s="24" t="inlineStr">
        <is>
          <t>O</t>
        </is>
      </c>
      <c r="CK48" s="24" t="inlineStr">
        <is>
          <t>O</t>
        </is>
      </c>
      <c r="CL48" s="24" t="inlineStr">
        <is>
          <t>O</t>
        </is>
      </c>
      <c r="CM48" s="24" t="inlineStr">
        <is>
          <t>O</t>
        </is>
      </c>
      <c r="CN48" s="24" t="inlineStr">
        <is>
          <t>O</t>
        </is>
      </c>
      <c r="CO48" s="24" t="inlineStr">
        <is>
          <t>O</t>
        </is>
      </c>
      <c r="CP48" s="24" t="inlineStr">
        <is>
          <t>O</t>
        </is>
      </c>
      <c r="CQ48" s="24" t="inlineStr">
        <is>
          <t>O</t>
        </is>
      </c>
      <c r="CR48" s="24" t="inlineStr">
        <is>
          <t>O</t>
        </is>
      </c>
      <c r="CS48" s="24" t="inlineStr">
        <is>
          <t>O</t>
        </is>
      </c>
      <c r="CT48" s="24" t="inlineStr">
        <is>
          <t>O</t>
        </is>
      </c>
      <c r="CU48" s="24" t="inlineStr">
        <is>
          <t>O</t>
        </is>
      </c>
      <c r="CV48" s="24" t="inlineStr">
        <is>
          <t>O</t>
        </is>
      </c>
      <c r="CW48" s="24" t="inlineStr">
        <is>
          <t>O</t>
        </is>
      </c>
      <c r="CX48" s="24" t="inlineStr">
        <is>
          <t>O</t>
        </is>
      </c>
      <c r="CY48" s="24" t="inlineStr">
        <is>
          <t>O</t>
        </is>
      </c>
      <c r="CZ48" s="24" t="inlineStr">
        <is>
          <t>O</t>
        </is>
      </c>
      <c r="DA48" s="24" t="inlineStr">
        <is>
          <t>O</t>
        </is>
      </c>
      <c r="DB48" s="24" t="inlineStr">
        <is>
          <t>O</t>
        </is>
      </c>
      <c r="DC48" s="24" t="inlineStr">
        <is>
          <t>O</t>
        </is>
      </c>
      <c r="DD48" s="24" t="inlineStr">
        <is>
          <t>O</t>
        </is>
      </c>
      <c r="DE48" s="24" t="inlineStr">
        <is>
          <t>O</t>
        </is>
      </c>
      <c r="DF48" s="24" t="inlineStr">
        <is>
          <t>O</t>
        </is>
      </c>
      <c r="DG48" s="24" t="inlineStr">
        <is>
          <t>O</t>
        </is>
      </c>
      <c r="DH48" s="24" t="inlineStr">
        <is>
          <t>O</t>
        </is>
      </c>
      <c r="DI48" s="24" t="inlineStr">
        <is>
          <t>O</t>
        </is>
      </c>
      <c r="DJ48" s="24" t="inlineStr">
        <is>
          <t>O</t>
        </is>
      </c>
      <c r="DK48" s="24" t="inlineStr">
        <is>
          <t>O</t>
        </is>
      </c>
      <c r="DL48" s="24" t="inlineStr">
        <is>
          <t>O</t>
        </is>
      </c>
      <c r="DM48" s="24" t="inlineStr">
        <is>
          <t>O</t>
        </is>
      </c>
      <c r="DN48" s="24" t="inlineStr">
        <is>
          <t>O</t>
        </is>
      </c>
      <c r="DO48" s="24" t="inlineStr">
        <is>
          <t>O</t>
        </is>
      </c>
      <c r="DP48" s="24" t="inlineStr">
        <is>
          <t>O</t>
        </is>
      </c>
      <c r="DQ48" s="24" t="inlineStr">
        <is>
          <t>O</t>
        </is>
      </c>
      <c r="DR48" s="24" t="inlineStr">
        <is>
          <t>O</t>
        </is>
      </c>
      <c r="DS48" s="24" t="inlineStr">
        <is>
          <t>O</t>
        </is>
      </c>
      <c r="DT48" s="24" t="inlineStr">
        <is>
          <t>O</t>
        </is>
      </c>
      <c r="DU48" s="24" t="inlineStr">
        <is>
          <t>O</t>
        </is>
      </c>
      <c r="DV48" s="24" t="inlineStr">
        <is>
          <t>O</t>
        </is>
      </c>
      <c r="DW48" s="24" t="inlineStr">
        <is>
          <t>O</t>
        </is>
      </c>
      <c r="DX48" s="24" t="inlineStr">
        <is>
          <t>O</t>
        </is>
      </c>
      <c r="DY48" s="24" t="inlineStr">
        <is>
          <t>O</t>
        </is>
      </c>
      <c r="DZ48" s="24" t="inlineStr">
        <is>
          <t>O</t>
        </is>
      </c>
      <c r="EA48" s="24" t="inlineStr">
        <is>
          <t>O</t>
        </is>
      </c>
      <c r="EB48" s="24" t="inlineStr">
        <is>
          <t>O</t>
        </is>
      </c>
      <c r="EC48" s="24" t="inlineStr">
        <is>
          <t>O</t>
        </is>
      </c>
      <c r="ED48" s="24" t="inlineStr">
        <is>
          <t>O</t>
        </is>
      </c>
      <c r="EE48" s="24" t="inlineStr">
        <is>
          <t>O</t>
        </is>
      </c>
      <c r="EF48" s="24" t="inlineStr">
        <is>
          <t>O</t>
        </is>
      </c>
      <c r="EG48" s="24" t="inlineStr">
        <is>
          <t>O</t>
        </is>
      </c>
      <c r="EH48" s="24" t="inlineStr">
        <is>
          <t>O</t>
        </is>
      </c>
      <c r="EI48" s="24" t="inlineStr">
        <is>
          <t>O</t>
        </is>
      </c>
      <c r="EJ48" s="24" t="inlineStr">
        <is>
          <t>O</t>
        </is>
      </c>
      <c r="EK48" s="24" t="inlineStr">
        <is>
          <t>O</t>
        </is>
      </c>
      <c r="EL48" s="24" t="inlineStr">
        <is>
          <t>O</t>
        </is>
      </c>
      <c r="EM48" s="24" t="inlineStr">
        <is>
          <t>O</t>
        </is>
      </c>
      <c r="EN48" s="24" t="inlineStr">
        <is>
          <t>O</t>
        </is>
      </c>
      <c r="EO48" s="24" t="inlineStr">
        <is>
          <t>O</t>
        </is>
      </c>
      <c r="EP48" s="24" t="inlineStr">
        <is>
          <t>O</t>
        </is>
      </c>
      <c r="EQ48" s="24" t="inlineStr">
        <is>
          <t>O</t>
        </is>
      </c>
      <c r="ER48" s="24" t="inlineStr">
        <is>
          <t>O</t>
        </is>
      </c>
      <c r="ES48" s="24" t="inlineStr">
        <is>
          <t>O</t>
        </is>
      </c>
      <c r="ET48" s="24" t="inlineStr">
        <is>
          <t>O</t>
        </is>
      </c>
      <c r="EU48" s="24" t="inlineStr">
        <is>
          <t>O</t>
        </is>
      </c>
      <c r="EV48" s="24" t="inlineStr">
        <is>
          <t>O</t>
        </is>
      </c>
      <c r="EW48" s="24" t="inlineStr">
        <is>
          <t>O</t>
        </is>
      </c>
      <c r="EX48" s="24" t="inlineStr">
        <is>
          <t>O</t>
        </is>
      </c>
      <c r="EY48" s="24" t="inlineStr">
        <is>
          <t>O</t>
        </is>
      </c>
      <c r="EZ48" s="24" t="inlineStr">
        <is>
          <t>O</t>
        </is>
      </c>
      <c r="FA48" s="24" t="inlineStr">
        <is>
          <t>O</t>
        </is>
      </c>
      <c r="FB48" s="24" t="inlineStr">
        <is>
          <t>O</t>
        </is>
      </c>
      <c r="FC48" s="24" t="inlineStr">
        <is>
          <t>O</t>
        </is>
      </c>
      <c r="FD48" s="24" t="inlineStr">
        <is>
          <t>O</t>
        </is>
      </c>
      <c r="FE48" s="24" t="inlineStr">
        <is>
          <t>O</t>
        </is>
      </c>
      <c r="FF48" s="24" t="inlineStr">
        <is>
          <t>O</t>
        </is>
      </c>
      <c r="FG48" s="24" t="inlineStr">
        <is>
          <t>O</t>
        </is>
      </c>
      <c r="FH48" s="24" t="inlineStr">
        <is>
          <t>O</t>
        </is>
      </c>
      <c r="FI48" s="24" t="inlineStr">
        <is>
          <t>O</t>
        </is>
      </c>
      <c r="FJ48" s="24" t="inlineStr">
        <is>
          <t>O</t>
        </is>
      </c>
      <c r="FK48" s="24" t="inlineStr">
        <is>
          <t>O</t>
        </is>
      </c>
      <c r="FL48" s="24" t="inlineStr">
        <is>
          <t>O</t>
        </is>
      </c>
      <c r="FM48" s="24" t="inlineStr">
        <is>
          <t>O</t>
        </is>
      </c>
      <c r="FN48" s="24" t="inlineStr">
        <is>
          <t>O</t>
        </is>
      </c>
      <c r="FO48" s="24" t="inlineStr">
        <is>
          <t>O</t>
        </is>
      </c>
      <c r="FP48" s="24" t="inlineStr">
        <is>
          <t>O</t>
        </is>
      </c>
      <c r="FQ48" s="24" t="inlineStr">
        <is>
          <t>O</t>
        </is>
      </c>
      <c r="FR48" s="24" t="inlineStr">
        <is>
          <t>O</t>
        </is>
      </c>
      <c r="FS48" s="24" t="inlineStr">
        <is>
          <t>O</t>
        </is>
      </c>
      <c r="FT48" s="24" t="inlineStr">
        <is>
          <t>O</t>
        </is>
      </c>
      <c r="FU48" s="24" t="inlineStr">
        <is>
          <t>O</t>
        </is>
      </c>
      <c r="FV48" s="24" t="inlineStr">
        <is>
          <t>O</t>
        </is>
      </c>
      <c r="FW48" s="24" t="inlineStr">
        <is>
          <t>O</t>
        </is>
      </c>
      <c r="FX48" s="24" t="inlineStr">
        <is>
          <t>O</t>
        </is>
      </c>
      <c r="FY48" s="24" t="inlineStr">
        <is>
          <t>O</t>
        </is>
      </c>
      <c r="FZ48" s="24" t="inlineStr">
        <is>
          <t>O</t>
        </is>
      </c>
      <c r="GA48" s="24" t="inlineStr">
        <is>
          <t>O</t>
        </is>
      </c>
      <c r="GB48" s="24" t="inlineStr">
        <is>
          <t>O</t>
        </is>
      </c>
      <c r="GC48" s="24" t="inlineStr">
        <is>
          <t>O</t>
        </is>
      </c>
      <c r="GD48" s="24" t="inlineStr">
        <is>
          <t>O</t>
        </is>
      </c>
      <c r="GE48" s="24" t="inlineStr">
        <is>
          <t>O</t>
        </is>
      </c>
      <c r="GF48" s="24" t="inlineStr">
        <is>
          <t>O</t>
        </is>
      </c>
      <c r="GG48" s="24" t="inlineStr">
        <is>
          <t>O</t>
        </is>
      </c>
      <c r="GH48" s="24" t="inlineStr">
        <is>
          <t>O</t>
        </is>
      </c>
      <c r="GI48" s="24" t="inlineStr">
        <is>
          <t>O</t>
        </is>
      </c>
      <c r="GJ48" s="24" t="inlineStr">
        <is>
          <t>O</t>
        </is>
      </c>
      <c r="GK48" s="24" t="inlineStr">
        <is>
          <t>O</t>
        </is>
      </c>
      <c r="GL48" s="24" t="inlineStr">
        <is>
          <t>O</t>
        </is>
      </c>
      <c r="GM48" s="24" t="inlineStr">
        <is>
          <t>O</t>
        </is>
      </c>
      <c r="GN48" s="24" t="inlineStr">
        <is>
          <t>O</t>
        </is>
      </c>
      <c r="GO48" s="24" t="inlineStr">
        <is>
          <t>O</t>
        </is>
      </c>
      <c r="GP48" s="24" t="inlineStr">
        <is>
          <t>O</t>
        </is>
      </c>
      <c r="GQ48" s="24" t="inlineStr">
        <is>
          <t>O</t>
        </is>
      </c>
      <c r="GR48" s="24" t="inlineStr">
        <is>
          <t>O</t>
        </is>
      </c>
      <c r="GS48" s="24" t="inlineStr">
        <is>
          <t>O</t>
        </is>
      </c>
      <c r="GT48" s="24" t="inlineStr">
        <is>
          <t>O</t>
        </is>
      </c>
      <c r="GU48" s="24" t="inlineStr">
        <is>
          <t>O</t>
        </is>
      </c>
      <c r="GV48" s="24" t="inlineStr">
        <is>
          <t>O</t>
        </is>
      </c>
      <c r="GW48" s="24" t="inlineStr">
        <is>
          <t>O</t>
        </is>
      </c>
      <c r="GX48" s="24" t="inlineStr">
        <is>
          <t>O</t>
        </is>
      </c>
    </row>
    <row r="49">
      <c r="A49" s="16" t="n"/>
      <c r="B49" s="19" t="n"/>
      <c r="C49" s="19" t="n"/>
      <c r="D49" s="19" t="n"/>
      <c r="E49" s="2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4" t="n"/>
      <c r="GM49" s="4" t="n"/>
      <c r="GN49" s="4" t="n"/>
      <c r="GO49" s="4" t="n"/>
      <c r="GP49" s="4" t="n"/>
      <c r="GQ49" s="4" t="n"/>
      <c r="GR49" s="4" t="n"/>
      <c r="GS49" s="4" t="n"/>
      <c r="GT49" s="4" t="n"/>
      <c r="GU49" s="4" t="n"/>
      <c r="GV49" s="4" t="n"/>
      <c r="GW49" s="4" t="n"/>
      <c r="GX49" s="4" t="n"/>
    </row>
    <row r="51">
      <c r="A51" s="15" t="inlineStr">
        <is>
          <t>Confirm</t>
        </is>
      </c>
      <c r="B51" s="18" t="inlineStr">
        <is>
          <t>Return</t>
        </is>
      </c>
      <c r="C51" s="19" t="n"/>
      <c r="D51" s="19" t="n"/>
      <c r="E51" s="22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4" t="n"/>
      <c r="GM51" s="4" t="n"/>
      <c r="GN51" s="4" t="n"/>
      <c r="GO51" s="4" t="n"/>
      <c r="GP51" s="4" t="n"/>
      <c r="GQ51" s="4" t="n"/>
      <c r="GR51" s="4" t="n"/>
      <c r="GS51" s="4" t="n"/>
      <c r="GT51" s="4" t="n"/>
      <c r="GU51" s="4" t="n"/>
      <c r="GV51" s="4" t="n"/>
      <c r="GW51" s="4" t="n"/>
      <c r="GX51" s="4" t="n"/>
    </row>
    <row r="52">
      <c r="A52" s="16" t="n"/>
      <c r="B52" s="19" t="n"/>
      <c r="C52" s="19" t="n"/>
      <c r="D52" s="23" t="inlineStr">
        <is>
          <t>Assertion verified</t>
        </is>
      </c>
      <c r="E52" s="22" t="n"/>
      <c r="F52" s="24" t="inlineStr">
        <is>
          <t>O</t>
        </is>
      </c>
      <c r="G52" s="24" t="inlineStr">
        <is>
          <t>O</t>
        </is>
      </c>
      <c r="H52" s="24" t="inlineStr">
        <is>
          <t>O</t>
        </is>
      </c>
      <c r="I52" s="24" t="inlineStr">
        <is>
          <t>O</t>
        </is>
      </c>
      <c r="J52" s="24" t="inlineStr">
        <is>
          <t>O</t>
        </is>
      </c>
      <c r="K52" s="24" t="inlineStr">
        <is>
          <t>O</t>
        </is>
      </c>
      <c r="L52" s="24" t="inlineStr">
        <is>
          <t>O</t>
        </is>
      </c>
      <c r="M52" s="24" t="inlineStr">
        <is>
          <t>O</t>
        </is>
      </c>
      <c r="N52" s="24" t="inlineStr">
        <is>
          <t>O</t>
        </is>
      </c>
      <c r="O52" s="24" t="inlineStr">
        <is>
          <t>O</t>
        </is>
      </c>
      <c r="P52" s="24" t="inlineStr">
        <is>
          <t>O</t>
        </is>
      </c>
      <c r="Q52" s="24" t="inlineStr">
        <is>
          <t>O</t>
        </is>
      </c>
      <c r="R52" s="24" t="inlineStr">
        <is>
          <t>O</t>
        </is>
      </c>
      <c r="S52" s="24" t="inlineStr">
        <is>
          <t>O</t>
        </is>
      </c>
      <c r="T52" s="24" t="inlineStr">
        <is>
          <t>O</t>
        </is>
      </c>
      <c r="U52" s="24" t="inlineStr">
        <is>
          <t>O</t>
        </is>
      </c>
      <c r="V52" s="24" t="inlineStr">
        <is>
          <t>O</t>
        </is>
      </c>
      <c r="W52" s="24" t="inlineStr">
        <is>
          <t>O</t>
        </is>
      </c>
      <c r="X52" s="24" t="inlineStr">
        <is>
          <t>O</t>
        </is>
      </c>
      <c r="Y52" s="24" t="inlineStr">
        <is>
          <t>O</t>
        </is>
      </c>
      <c r="Z52" s="24" t="inlineStr">
        <is>
          <t>O</t>
        </is>
      </c>
      <c r="AA52" s="24" t="inlineStr">
        <is>
          <t>O</t>
        </is>
      </c>
      <c r="AB52" s="24" t="inlineStr">
        <is>
          <t>O</t>
        </is>
      </c>
      <c r="AC52" s="24" t="inlineStr">
        <is>
          <t>O</t>
        </is>
      </c>
      <c r="AD52" s="24" t="inlineStr">
        <is>
          <t>O</t>
        </is>
      </c>
      <c r="AE52" s="24" t="inlineStr">
        <is>
          <t>O</t>
        </is>
      </c>
      <c r="AF52" s="24" t="inlineStr">
        <is>
          <t>O</t>
        </is>
      </c>
      <c r="AG52" s="24" t="inlineStr">
        <is>
          <t>O</t>
        </is>
      </c>
      <c r="AH52" s="24" t="inlineStr">
        <is>
          <t>O</t>
        </is>
      </c>
      <c r="AI52" s="24" t="inlineStr">
        <is>
          <t>O</t>
        </is>
      </c>
      <c r="AJ52" s="24" t="inlineStr">
        <is>
          <t>O</t>
        </is>
      </c>
      <c r="AK52" s="24" t="inlineStr">
        <is>
          <t>O</t>
        </is>
      </c>
      <c r="AL52" s="24" t="inlineStr">
        <is>
          <t>O</t>
        </is>
      </c>
      <c r="AM52" s="24" t="inlineStr">
        <is>
          <t>O</t>
        </is>
      </c>
      <c r="AN52" s="24" t="inlineStr">
        <is>
          <t>O</t>
        </is>
      </c>
      <c r="AO52" s="24" t="inlineStr">
        <is>
          <t>O</t>
        </is>
      </c>
      <c r="AP52" s="24" t="inlineStr">
        <is>
          <t>O</t>
        </is>
      </c>
      <c r="AQ52" s="24" t="inlineStr">
        <is>
          <t>O</t>
        </is>
      </c>
      <c r="AR52" s="24" t="inlineStr">
        <is>
          <t>O</t>
        </is>
      </c>
      <c r="AS52" s="24" t="inlineStr">
        <is>
          <t>O</t>
        </is>
      </c>
      <c r="AT52" s="24" t="inlineStr">
        <is>
          <t>O</t>
        </is>
      </c>
      <c r="AU52" s="24" t="inlineStr">
        <is>
          <t>O</t>
        </is>
      </c>
      <c r="AV52" s="24" t="inlineStr">
        <is>
          <t>O</t>
        </is>
      </c>
      <c r="AW52" s="24" t="inlineStr">
        <is>
          <t>O</t>
        </is>
      </c>
      <c r="AX52" s="24" t="inlineStr">
        <is>
          <t>O</t>
        </is>
      </c>
      <c r="AY52" s="24" t="inlineStr">
        <is>
          <t>O</t>
        </is>
      </c>
      <c r="AZ52" s="24" t="inlineStr">
        <is>
          <t>O</t>
        </is>
      </c>
      <c r="BA52" s="24" t="inlineStr">
        <is>
          <t>O</t>
        </is>
      </c>
      <c r="BB52" s="24" t="inlineStr">
        <is>
          <t>O</t>
        </is>
      </c>
      <c r="BC52" s="24" t="inlineStr">
        <is>
          <t>O</t>
        </is>
      </c>
      <c r="BD52" s="24" t="inlineStr">
        <is>
          <t>O</t>
        </is>
      </c>
      <c r="BE52" s="24" t="inlineStr">
        <is>
          <t>O</t>
        </is>
      </c>
      <c r="BF52" s="24" t="inlineStr">
        <is>
          <t>O</t>
        </is>
      </c>
      <c r="BG52" s="24" t="inlineStr">
        <is>
          <t>O</t>
        </is>
      </c>
      <c r="BH52" s="24" t="inlineStr">
        <is>
          <t>O</t>
        </is>
      </c>
      <c r="BI52" s="24" t="inlineStr">
        <is>
          <t>O</t>
        </is>
      </c>
      <c r="BJ52" s="24" t="inlineStr">
        <is>
          <t>O</t>
        </is>
      </c>
      <c r="BK52" s="24" t="inlineStr">
        <is>
          <t>O</t>
        </is>
      </c>
      <c r="BL52" s="24" t="inlineStr">
        <is>
          <t>O</t>
        </is>
      </c>
      <c r="BM52" s="24" t="inlineStr">
        <is>
          <t>O</t>
        </is>
      </c>
      <c r="BN52" s="24" t="inlineStr">
        <is>
          <t>O</t>
        </is>
      </c>
      <c r="BO52" s="24" t="inlineStr">
        <is>
          <t>O</t>
        </is>
      </c>
      <c r="BP52" s="24" t="inlineStr">
        <is>
          <t>O</t>
        </is>
      </c>
      <c r="BQ52" s="24" t="inlineStr">
        <is>
          <t>O</t>
        </is>
      </c>
      <c r="BR52" s="24" t="inlineStr">
        <is>
          <t>O</t>
        </is>
      </c>
      <c r="BS52" s="24" t="inlineStr">
        <is>
          <t>O</t>
        </is>
      </c>
      <c r="BT52" s="24" t="inlineStr">
        <is>
          <t>O</t>
        </is>
      </c>
      <c r="BU52" s="24" t="inlineStr">
        <is>
          <t>O</t>
        </is>
      </c>
      <c r="BV52" s="24" t="inlineStr">
        <is>
          <t>O</t>
        </is>
      </c>
      <c r="BW52" s="24" t="inlineStr">
        <is>
          <t>O</t>
        </is>
      </c>
      <c r="BX52" s="24" t="inlineStr">
        <is>
          <t>O</t>
        </is>
      </c>
      <c r="BY52" s="24" t="inlineStr">
        <is>
          <t>O</t>
        </is>
      </c>
      <c r="BZ52" s="24" t="inlineStr">
        <is>
          <t>O</t>
        </is>
      </c>
      <c r="CA52" s="24" t="inlineStr">
        <is>
          <t>O</t>
        </is>
      </c>
      <c r="CB52" s="24" t="inlineStr">
        <is>
          <t>O</t>
        </is>
      </c>
      <c r="CC52" s="24" t="inlineStr">
        <is>
          <t>O</t>
        </is>
      </c>
      <c r="CD52" s="24" t="inlineStr">
        <is>
          <t>O</t>
        </is>
      </c>
      <c r="CE52" s="24" t="inlineStr">
        <is>
          <t>O</t>
        </is>
      </c>
      <c r="CF52" s="24" t="inlineStr">
        <is>
          <t>O</t>
        </is>
      </c>
      <c r="CG52" s="24" t="inlineStr">
        <is>
          <t>O</t>
        </is>
      </c>
      <c r="CH52" s="24" t="inlineStr">
        <is>
          <t>O</t>
        </is>
      </c>
      <c r="CI52" s="24" t="inlineStr">
        <is>
          <t>O</t>
        </is>
      </c>
      <c r="CJ52" s="24" t="inlineStr">
        <is>
          <t>O</t>
        </is>
      </c>
      <c r="CK52" s="24" t="inlineStr">
        <is>
          <t>O</t>
        </is>
      </c>
      <c r="CL52" s="24" t="inlineStr">
        <is>
          <t>O</t>
        </is>
      </c>
      <c r="CM52" s="24" t="inlineStr">
        <is>
          <t>O</t>
        </is>
      </c>
      <c r="CN52" s="24" t="inlineStr">
        <is>
          <t>O</t>
        </is>
      </c>
      <c r="CO52" s="24" t="inlineStr">
        <is>
          <t>O</t>
        </is>
      </c>
      <c r="CP52" s="24" t="inlineStr">
        <is>
          <t>O</t>
        </is>
      </c>
      <c r="CQ52" s="24" t="inlineStr">
        <is>
          <t>O</t>
        </is>
      </c>
      <c r="CR52" s="24" t="inlineStr">
        <is>
          <t>O</t>
        </is>
      </c>
      <c r="CS52" s="24" t="inlineStr">
        <is>
          <t>O</t>
        </is>
      </c>
      <c r="CT52" s="24" t="inlineStr">
        <is>
          <t>O</t>
        </is>
      </c>
      <c r="CU52" s="24" t="inlineStr">
        <is>
          <t>O</t>
        </is>
      </c>
      <c r="CV52" s="24" t="inlineStr">
        <is>
          <t>O</t>
        </is>
      </c>
      <c r="CW52" s="24" t="inlineStr">
        <is>
          <t>O</t>
        </is>
      </c>
      <c r="CX52" s="24" t="inlineStr">
        <is>
          <t>O</t>
        </is>
      </c>
      <c r="CY52" s="24" t="inlineStr">
        <is>
          <t>O</t>
        </is>
      </c>
      <c r="CZ52" s="24" t="inlineStr">
        <is>
          <t>O</t>
        </is>
      </c>
      <c r="DA52" s="24" t="inlineStr">
        <is>
          <t>O</t>
        </is>
      </c>
      <c r="DB52" s="24" t="inlineStr">
        <is>
          <t>O</t>
        </is>
      </c>
      <c r="DC52" s="24" t="inlineStr">
        <is>
          <t>O</t>
        </is>
      </c>
      <c r="DD52" s="24" t="inlineStr">
        <is>
          <t>O</t>
        </is>
      </c>
      <c r="DE52" s="24" t="inlineStr">
        <is>
          <t>O</t>
        </is>
      </c>
      <c r="DF52" s="24" t="inlineStr">
        <is>
          <t>O</t>
        </is>
      </c>
      <c r="DG52" s="24" t="inlineStr">
        <is>
          <t>O</t>
        </is>
      </c>
      <c r="DH52" s="24" t="inlineStr">
        <is>
          <t>O</t>
        </is>
      </c>
      <c r="DI52" s="24" t="inlineStr">
        <is>
          <t>O</t>
        </is>
      </c>
      <c r="DJ52" s="24" t="inlineStr">
        <is>
          <t>O</t>
        </is>
      </c>
      <c r="DK52" s="24" t="inlineStr">
        <is>
          <t>O</t>
        </is>
      </c>
      <c r="DL52" s="24" t="inlineStr">
        <is>
          <t>O</t>
        </is>
      </c>
      <c r="DM52" s="24" t="inlineStr">
        <is>
          <t>O</t>
        </is>
      </c>
      <c r="DN52" s="24" t="inlineStr">
        <is>
          <t>O</t>
        </is>
      </c>
      <c r="DO52" s="24" t="inlineStr">
        <is>
          <t>O</t>
        </is>
      </c>
      <c r="DP52" s="24" t="inlineStr">
        <is>
          <t>O</t>
        </is>
      </c>
      <c r="DQ52" s="24" t="inlineStr">
        <is>
          <t>O</t>
        </is>
      </c>
      <c r="DR52" s="24" t="inlineStr">
        <is>
          <t>O</t>
        </is>
      </c>
      <c r="DS52" s="24" t="inlineStr">
        <is>
          <t>O</t>
        </is>
      </c>
      <c r="DT52" s="24" t="inlineStr">
        <is>
          <t>O</t>
        </is>
      </c>
      <c r="DU52" s="24" t="inlineStr">
        <is>
          <t>O</t>
        </is>
      </c>
      <c r="DV52" s="24" t="inlineStr">
        <is>
          <t>O</t>
        </is>
      </c>
      <c r="DW52" s="24" t="inlineStr">
        <is>
          <t>O</t>
        </is>
      </c>
      <c r="DX52" s="24" t="inlineStr">
        <is>
          <t>O</t>
        </is>
      </c>
      <c r="DY52" s="24" t="inlineStr">
        <is>
          <t>O</t>
        </is>
      </c>
      <c r="DZ52" s="24" t="inlineStr">
        <is>
          <t>O</t>
        </is>
      </c>
      <c r="EA52" s="24" t="inlineStr">
        <is>
          <t>O</t>
        </is>
      </c>
      <c r="EB52" s="24" t="inlineStr">
        <is>
          <t>O</t>
        </is>
      </c>
      <c r="EC52" s="24" t="inlineStr">
        <is>
          <t>O</t>
        </is>
      </c>
      <c r="ED52" s="24" t="inlineStr">
        <is>
          <t>O</t>
        </is>
      </c>
      <c r="EE52" s="24" t="inlineStr">
        <is>
          <t>O</t>
        </is>
      </c>
      <c r="EF52" s="24" t="inlineStr">
        <is>
          <t>O</t>
        </is>
      </c>
      <c r="EG52" s="24" t="inlineStr">
        <is>
          <t>O</t>
        </is>
      </c>
      <c r="EH52" s="24" t="inlineStr">
        <is>
          <t>O</t>
        </is>
      </c>
      <c r="EI52" s="24" t="inlineStr">
        <is>
          <t>O</t>
        </is>
      </c>
      <c r="EJ52" s="24" t="inlineStr">
        <is>
          <t>O</t>
        </is>
      </c>
      <c r="EK52" s="24" t="inlineStr">
        <is>
          <t>O</t>
        </is>
      </c>
      <c r="EL52" s="24" t="inlineStr">
        <is>
          <t>O</t>
        </is>
      </c>
      <c r="EM52" s="24" t="inlineStr">
        <is>
          <t>O</t>
        </is>
      </c>
      <c r="EN52" s="24" t="inlineStr">
        <is>
          <t>O</t>
        </is>
      </c>
      <c r="EO52" s="24" t="inlineStr">
        <is>
          <t>O</t>
        </is>
      </c>
      <c r="EP52" s="24" t="inlineStr">
        <is>
          <t>O</t>
        </is>
      </c>
      <c r="EQ52" s="24" t="inlineStr">
        <is>
          <t>O</t>
        </is>
      </c>
      <c r="ER52" s="24" t="inlineStr">
        <is>
          <t>O</t>
        </is>
      </c>
      <c r="ES52" s="24" t="inlineStr">
        <is>
          <t>O</t>
        </is>
      </c>
      <c r="ET52" s="24" t="inlineStr">
        <is>
          <t>O</t>
        </is>
      </c>
      <c r="EU52" s="24" t="inlineStr">
        <is>
          <t>O</t>
        </is>
      </c>
      <c r="EV52" s="24" t="inlineStr">
        <is>
          <t>O</t>
        </is>
      </c>
      <c r="EW52" s="24" t="inlineStr">
        <is>
          <t>O</t>
        </is>
      </c>
      <c r="EX52" s="24" t="inlineStr">
        <is>
          <t>O</t>
        </is>
      </c>
      <c r="EY52" s="24" t="inlineStr">
        <is>
          <t>O</t>
        </is>
      </c>
      <c r="EZ52" s="24" t="inlineStr">
        <is>
          <t>O</t>
        </is>
      </c>
      <c r="FA52" s="24" t="inlineStr">
        <is>
          <t>O</t>
        </is>
      </c>
      <c r="FB52" s="24" t="inlineStr">
        <is>
          <t>O</t>
        </is>
      </c>
      <c r="FC52" s="24" t="inlineStr">
        <is>
          <t>O</t>
        </is>
      </c>
      <c r="FD52" s="24" t="inlineStr">
        <is>
          <t>O</t>
        </is>
      </c>
      <c r="FE52" s="24" t="inlineStr">
        <is>
          <t>O</t>
        </is>
      </c>
      <c r="FF52" s="24" t="inlineStr">
        <is>
          <t>O</t>
        </is>
      </c>
      <c r="FG52" s="24" t="inlineStr">
        <is>
          <t>O</t>
        </is>
      </c>
      <c r="FH52" s="24" t="inlineStr">
        <is>
          <t>O</t>
        </is>
      </c>
      <c r="FI52" s="24" t="inlineStr">
        <is>
          <t>O</t>
        </is>
      </c>
      <c r="FJ52" s="24" t="inlineStr">
        <is>
          <t>O</t>
        </is>
      </c>
      <c r="FK52" s="24" t="inlineStr">
        <is>
          <t>O</t>
        </is>
      </c>
      <c r="FL52" s="24" t="inlineStr">
        <is>
          <t>O</t>
        </is>
      </c>
      <c r="FM52" s="24" t="inlineStr">
        <is>
          <t>O</t>
        </is>
      </c>
      <c r="FN52" s="24" t="inlineStr">
        <is>
          <t>O</t>
        </is>
      </c>
      <c r="FO52" s="24" t="inlineStr">
        <is>
          <t>O</t>
        </is>
      </c>
      <c r="FP52" s="24" t="inlineStr">
        <is>
          <t>O</t>
        </is>
      </c>
      <c r="FQ52" s="24" t="inlineStr">
        <is>
          <t>O</t>
        </is>
      </c>
      <c r="FR52" s="24" t="inlineStr">
        <is>
          <t>O</t>
        </is>
      </c>
      <c r="FS52" s="24" t="inlineStr">
        <is>
          <t>O</t>
        </is>
      </c>
      <c r="FT52" s="24" t="inlineStr">
        <is>
          <t>O</t>
        </is>
      </c>
      <c r="FU52" s="24" t="inlineStr">
        <is>
          <t>O</t>
        </is>
      </c>
      <c r="FV52" s="24" t="inlineStr">
        <is>
          <t>O</t>
        </is>
      </c>
      <c r="FW52" s="24" t="inlineStr">
        <is>
          <t>O</t>
        </is>
      </c>
      <c r="FX52" s="24" t="inlineStr">
        <is>
          <t>O</t>
        </is>
      </c>
      <c r="FY52" s="24" t="inlineStr">
        <is>
          <t>O</t>
        </is>
      </c>
      <c r="FZ52" s="24" t="inlineStr">
        <is>
          <t>O</t>
        </is>
      </c>
      <c r="GA52" s="24" t="inlineStr">
        <is>
          <t>O</t>
        </is>
      </c>
      <c r="GB52" s="24" t="inlineStr">
        <is>
          <t>O</t>
        </is>
      </c>
      <c r="GC52" s="24" t="inlineStr">
        <is>
          <t>O</t>
        </is>
      </c>
      <c r="GD52" s="24" t="inlineStr">
        <is>
          <t>O</t>
        </is>
      </c>
      <c r="GE52" s="24" t="inlineStr">
        <is>
          <t>O</t>
        </is>
      </c>
      <c r="GF52" s="24" t="inlineStr">
        <is>
          <t>O</t>
        </is>
      </c>
      <c r="GG52" s="24" t="inlineStr">
        <is>
          <t>O</t>
        </is>
      </c>
      <c r="GH52" s="24" t="inlineStr">
        <is>
          <t>O</t>
        </is>
      </c>
      <c r="GI52" s="24" t="inlineStr">
        <is>
          <t>O</t>
        </is>
      </c>
      <c r="GJ52" s="24" t="inlineStr">
        <is>
          <t>O</t>
        </is>
      </c>
      <c r="GK52" s="24" t="inlineStr">
        <is>
          <t>O</t>
        </is>
      </c>
      <c r="GL52" s="24" t="inlineStr">
        <is>
          <t>O</t>
        </is>
      </c>
      <c r="GM52" s="24" t="inlineStr">
        <is>
          <t>O</t>
        </is>
      </c>
      <c r="GN52" s="24" t="inlineStr">
        <is>
          <t>O</t>
        </is>
      </c>
      <c r="GO52" s="24" t="inlineStr">
        <is>
          <t>O</t>
        </is>
      </c>
      <c r="GP52" s="24" t="inlineStr">
        <is>
          <t>O</t>
        </is>
      </c>
      <c r="GQ52" s="24" t="inlineStr">
        <is>
          <t>O</t>
        </is>
      </c>
      <c r="GR52" s="24" t="inlineStr">
        <is>
          <t>O</t>
        </is>
      </c>
      <c r="GS52" s="24" t="inlineStr">
        <is>
          <t>O</t>
        </is>
      </c>
      <c r="GT52" s="24" t="inlineStr">
        <is>
          <t>O</t>
        </is>
      </c>
      <c r="GU52" s="24" t="inlineStr">
        <is>
          <t>O</t>
        </is>
      </c>
      <c r="GV52" s="24" t="inlineStr">
        <is>
          <t>O</t>
        </is>
      </c>
      <c r="GW52" s="24" t="inlineStr">
        <is>
          <t>O</t>
        </is>
      </c>
      <c r="GX52" s="24" t="inlineStr">
        <is>
          <t>O</t>
        </is>
      </c>
    </row>
    <row r="53">
      <c r="A53" s="16" t="n"/>
      <c r="B53" s="19" t="n"/>
      <c r="C53" s="19" t="n"/>
      <c r="D53" s="19" t="n"/>
      <c r="E53" s="22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4" t="n"/>
      <c r="GM53" s="4" t="n"/>
      <c r="GN53" s="4" t="n"/>
      <c r="GO53" s="4" t="n"/>
      <c r="GP53" s="4" t="n"/>
      <c r="GQ53" s="4" t="n"/>
      <c r="GR53" s="4" t="n"/>
      <c r="GS53" s="4" t="n"/>
      <c r="GT53" s="4" t="n"/>
      <c r="GU53" s="4" t="n"/>
      <c r="GV53" s="4" t="n"/>
      <c r="GW53" s="4" t="n"/>
      <c r="GX53" s="4" t="n"/>
    </row>
    <row r="54">
      <c r="A54" s="16" t="n"/>
      <c r="B54" s="18" t="inlineStr">
        <is>
          <t>Exception</t>
        </is>
      </c>
      <c r="C54" s="19" t="n"/>
      <c r="D54" s="19" t="n"/>
      <c r="E54" s="22" t="n"/>
      <c r="F54" s="24" t="inlineStr">
        <is>
          <t>O</t>
        </is>
      </c>
      <c r="G54" s="24" t="inlineStr">
        <is>
          <t>O</t>
        </is>
      </c>
      <c r="H54" s="24" t="inlineStr">
        <is>
          <t>O</t>
        </is>
      </c>
      <c r="I54" s="24" t="inlineStr">
        <is>
          <t>O</t>
        </is>
      </c>
      <c r="J54" s="24" t="inlineStr">
        <is>
          <t>O</t>
        </is>
      </c>
      <c r="K54" s="24" t="inlineStr">
        <is>
          <t>O</t>
        </is>
      </c>
      <c r="L54" s="24" t="inlineStr">
        <is>
          <t>O</t>
        </is>
      </c>
      <c r="M54" s="24" t="inlineStr">
        <is>
          <t>O</t>
        </is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4" t="n"/>
      <c r="GM54" s="4" t="n"/>
      <c r="GN54" s="4" t="n"/>
      <c r="GO54" s="4" t="n"/>
      <c r="GP54" s="4" t="n"/>
      <c r="GQ54" s="4" t="n"/>
      <c r="GR54" s="4" t="n"/>
      <c r="GS54" s="4" t="n"/>
      <c r="GT54" s="4" t="n"/>
      <c r="GU54" s="4" t="n"/>
      <c r="GV54" s="4" t="n"/>
      <c r="GW54" s="4" t="n"/>
      <c r="GX54" s="4" t="n"/>
    </row>
    <row r="55">
      <c r="A55" s="16" t="n"/>
      <c r="B55" s="19" t="n"/>
      <c r="C55" s="19" t="n"/>
      <c r="D55" s="19" t="n"/>
      <c r="E55" s="22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4" t="n"/>
      <c r="GM55" s="4" t="n"/>
      <c r="GN55" s="4" t="n"/>
      <c r="GO55" s="4" t="n"/>
      <c r="GP55" s="4" t="n"/>
      <c r="GQ55" s="4" t="n"/>
      <c r="GR55" s="4" t="n"/>
      <c r="GS55" s="4" t="n"/>
      <c r="GT55" s="4" t="n"/>
      <c r="GU55" s="4" t="n"/>
      <c r="GV55" s="4" t="n"/>
      <c r="GW55" s="4" t="n"/>
      <c r="GX55" s="4" t="n"/>
    </row>
    <row r="56">
      <c r="A56" s="16" t="n"/>
      <c r="B56" s="18" t="inlineStr">
        <is>
          <t>Log message</t>
        </is>
      </c>
      <c r="C56" s="19" t="n"/>
      <c r="D56" s="19" t="n"/>
      <c r="E56" s="22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  <c r="EA56" s="4" t="n"/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/>
      <c r="EN56" s="4" t="n"/>
      <c r="EO56" s="4" t="n"/>
      <c r="EP56" s="4" t="n"/>
      <c r="EQ56" s="4" t="n"/>
      <c r="ER56" s="4" t="n"/>
      <c r="ES56" s="4" t="n"/>
      <c r="ET56" s="4" t="n"/>
      <c r="EU56" s="4" t="n"/>
      <c r="EV56" s="4" t="n"/>
      <c r="EW56" s="4" t="n"/>
      <c r="EX56" s="4" t="n"/>
      <c r="EY56" s="4" t="n"/>
      <c r="EZ56" s="4" t="n"/>
      <c r="FA56" s="4" t="n"/>
      <c r="FB56" s="4" t="n"/>
      <c r="FC56" s="4" t="n"/>
      <c r="FD56" s="4" t="n"/>
      <c r="FE56" s="4" t="n"/>
      <c r="FF56" s="4" t="n"/>
      <c r="FG56" s="4" t="n"/>
      <c r="FH56" s="4" t="n"/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/>
      <c r="GL56" s="4" t="n"/>
      <c r="GM56" s="4" t="n"/>
      <c r="GN56" s="4" t="n"/>
      <c r="GO56" s="4" t="n"/>
      <c r="GP56" s="4" t="n"/>
      <c r="GQ56" s="4" t="n"/>
      <c r="GR56" s="4" t="n"/>
      <c r="GS56" s="4" t="n"/>
      <c r="GT56" s="4" t="n"/>
      <c r="GU56" s="4" t="n"/>
      <c r="GV56" s="4" t="n"/>
      <c r="GW56" s="4" t="n"/>
      <c r="GX56" s="4" t="n"/>
    </row>
    <row r="57">
      <c r="A57" s="16" t="n"/>
      <c r="B57" s="19" t="n"/>
      <c r="C57" s="19" t="n"/>
      <c r="D57" s="19" t="n"/>
      <c r="E57" s="22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/>
      <c r="DX57" s="4" t="n"/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4" t="n"/>
      <c r="GM57" s="4" t="n"/>
      <c r="GN57" s="4" t="n"/>
      <c r="GO57" s="4" t="n"/>
      <c r="GP57" s="4" t="n"/>
      <c r="GQ57" s="4" t="n"/>
      <c r="GR57" s="4" t="n"/>
      <c r="GS57" s="4" t="n"/>
      <c r="GT57" s="4" t="n"/>
      <c r="GU57" s="4" t="n"/>
      <c r="GV57" s="4" t="n"/>
      <c r="GW57" s="4" t="n"/>
      <c r="GX57" s="4" t="n"/>
    </row>
    <row r="58">
      <c r="A58" s="16" t="n"/>
      <c r="B58" s="19" t="n"/>
      <c r="C58" s="19" t="n"/>
      <c r="D58" s="19" t="n"/>
      <c r="E58" s="22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/>
      <c r="DX58" s="4" t="n"/>
      <c r="DY58" s="4" t="n"/>
      <c r="DZ58" s="4" t="n"/>
      <c r="EA58" s="4" t="n"/>
      <c r="EB58" s="4" t="n"/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/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/>
      <c r="EV58" s="4" t="n"/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4" t="n"/>
      <c r="GM58" s="4" t="n"/>
      <c r="GN58" s="4" t="n"/>
      <c r="GO58" s="4" t="n"/>
      <c r="GP58" s="4" t="n"/>
      <c r="GQ58" s="4" t="n"/>
      <c r="GR58" s="4" t="n"/>
      <c r="GS58" s="4" t="n"/>
      <c r="GT58" s="4" t="n"/>
      <c r="GU58" s="4" t="n"/>
      <c r="GV58" s="4" t="n"/>
      <c r="GW58" s="4" t="n"/>
      <c r="GX58" s="4" t="n"/>
    </row>
    <row r="59">
      <c r="A59" s="15" t="inlineStr">
        <is>
          <t>Result</t>
        </is>
      </c>
      <c r="B59" s="17" t="inlineStr">
        <is>
          <t>Type(N : Normal, A : Abnormal, B : Boundary)</t>
        </is>
      </c>
      <c r="C59" s="4" t="n"/>
      <c r="D59" s="4" t="n"/>
      <c r="E59" s="4" t="n"/>
      <c r="F59" s="25" t="inlineStr">
        <is>
          <t>A</t>
        </is>
      </c>
      <c r="G59" s="25" t="inlineStr">
        <is>
          <t>A</t>
        </is>
      </c>
      <c r="H59" s="25" t="inlineStr">
        <is>
          <t>A</t>
        </is>
      </c>
      <c r="I59" s="25" t="inlineStr">
        <is>
          <t>A</t>
        </is>
      </c>
      <c r="J59" s="25" t="inlineStr">
        <is>
          <t>A</t>
        </is>
      </c>
      <c r="K59" s="25" t="inlineStr">
        <is>
          <t>A</t>
        </is>
      </c>
      <c r="L59" s="25" t="inlineStr">
        <is>
          <t>A</t>
        </is>
      </c>
      <c r="M59" s="25" t="inlineStr">
        <is>
          <t>A</t>
        </is>
      </c>
      <c r="N59" s="25" t="inlineStr">
        <is>
          <t>N</t>
        </is>
      </c>
      <c r="O59" s="25" t="inlineStr">
        <is>
          <t>N</t>
        </is>
      </c>
      <c r="P59" s="25" t="inlineStr">
        <is>
          <t>N</t>
        </is>
      </c>
      <c r="Q59" s="25" t="inlineStr">
        <is>
          <t>N</t>
        </is>
      </c>
      <c r="R59" s="25" t="inlineStr">
        <is>
          <t>N</t>
        </is>
      </c>
      <c r="S59" s="25" t="inlineStr">
        <is>
          <t>N</t>
        </is>
      </c>
      <c r="T59" s="25" t="inlineStr">
        <is>
          <t>N</t>
        </is>
      </c>
      <c r="U59" s="25" t="inlineStr">
        <is>
          <t>N</t>
        </is>
      </c>
      <c r="V59" s="25" t="inlineStr">
        <is>
          <t>N</t>
        </is>
      </c>
      <c r="W59" s="25" t="inlineStr">
        <is>
          <t>N</t>
        </is>
      </c>
      <c r="X59" s="25" t="inlineStr">
        <is>
          <t>N</t>
        </is>
      </c>
      <c r="Y59" s="25" t="inlineStr">
        <is>
          <t>N</t>
        </is>
      </c>
      <c r="Z59" s="25" t="inlineStr">
        <is>
          <t>N</t>
        </is>
      </c>
      <c r="AA59" s="25" t="inlineStr">
        <is>
          <t>N</t>
        </is>
      </c>
      <c r="AB59" s="25" t="inlineStr">
        <is>
          <t>N</t>
        </is>
      </c>
      <c r="AC59" s="25" t="inlineStr">
        <is>
          <t>N</t>
        </is>
      </c>
      <c r="AD59" s="25" t="inlineStr">
        <is>
          <t>N</t>
        </is>
      </c>
      <c r="AE59" s="25" t="inlineStr">
        <is>
          <t>N</t>
        </is>
      </c>
      <c r="AF59" s="25" t="inlineStr">
        <is>
          <t>N</t>
        </is>
      </c>
      <c r="AG59" s="25" t="inlineStr">
        <is>
          <t>N</t>
        </is>
      </c>
      <c r="AH59" s="25" t="inlineStr">
        <is>
          <t>N</t>
        </is>
      </c>
      <c r="AI59" s="25" t="inlineStr">
        <is>
          <t>N</t>
        </is>
      </c>
      <c r="AJ59" s="25" t="inlineStr">
        <is>
          <t>N</t>
        </is>
      </c>
      <c r="AK59" s="25" t="inlineStr">
        <is>
          <t>N</t>
        </is>
      </c>
      <c r="AL59" s="25" t="inlineStr">
        <is>
          <t>N</t>
        </is>
      </c>
      <c r="AM59" s="25" t="inlineStr">
        <is>
          <t>N</t>
        </is>
      </c>
      <c r="AN59" s="25" t="inlineStr">
        <is>
          <t>N</t>
        </is>
      </c>
      <c r="AO59" s="25" t="inlineStr">
        <is>
          <t>N</t>
        </is>
      </c>
      <c r="AP59" s="25" t="inlineStr">
        <is>
          <t>N</t>
        </is>
      </c>
      <c r="AQ59" s="25" t="inlineStr">
        <is>
          <t>N</t>
        </is>
      </c>
      <c r="AR59" s="25" t="inlineStr">
        <is>
          <t>N</t>
        </is>
      </c>
      <c r="AS59" s="25" t="inlineStr">
        <is>
          <t>N</t>
        </is>
      </c>
      <c r="AT59" s="25" t="inlineStr">
        <is>
          <t>N</t>
        </is>
      </c>
      <c r="AU59" s="25" t="inlineStr">
        <is>
          <t>N</t>
        </is>
      </c>
      <c r="AV59" s="25" t="inlineStr">
        <is>
          <t>N</t>
        </is>
      </c>
      <c r="AW59" s="25" t="inlineStr">
        <is>
          <t>N</t>
        </is>
      </c>
      <c r="AX59" s="25" t="inlineStr">
        <is>
          <t>N</t>
        </is>
      </c>
      <c r="AY59" s="25" t="inlineStr">
        <is>
          <t>N</t>
        </is>
      </c>
      <c r="AZ59" s="25" t="inlineStr">
        <is>
          <t>N</t>
        </is>
      </c>
      <c r="BA59" s="25" t="inlineStr">
        <is>
          <t>N</t>
        </is>
      </c>
      <c r="BB59" s="25" t="inlineStr">
        <is>
          <t>N</t>
        </is>
      </c>
      <c r="BC59" s="25" t="inlineStr">
        <is>
          <t>N</t>
        </is>
      </c>
      <c r="BD59" s="25" t="inlineStr">
        <is>
          <t>N</t>
        </is>
      </c>
      <c r="BE59" s="25" t="inlineStr">
        <is>
          <t>N</t>
        </is>
      </c>
      <c r="BF59" s="25" t="inlineStr">
        <is>
          <t>N</t>
        </is>
      </c>
      <c r="BG59" s="25" t="inlineStr">
        <is>
          <t>N</t>
        </is>
      </c>
      <c r="BH59" s="25" t="inlineStr">
        <is>
          <t>N</t>
        </is>
      </c>
      <c r="BI59" s="25" t="inlineStr">
        <is>
          <t>N</t>
        </is>
      </c>
      <c r="BJ59" s="25" t="inlineStr">
        <is>
          <t>N</t>
        </is>
      </c>
      <c r="BK59" s="25" t="inlineStr">
        <is>
          <t>N</t>
        </is>
      </c>
      <c r="BL59" s="25" t="inlineStr">
        <is>
          <t>N</t>
        </is>
      </c>
      <c r="BM59" s="25" t="inlineStr">
        <is>
          <t>N</t>
        </is>
      </c>
      <c r="BN59" s="25" t="inlineStr">
        <is>
          <t>N</t>
        </is>
      </c>
      <c r="BO59" s="25" t="inlineStr">
        <is>
          <t>N</t>
        </is>
      </c>
      <c r="BP59" s="25" t="inlineStr">
        <is>
          <t>N</t>
        </is>
      </c>
      <c r="BQ59" s="25" t="inlineStr">
        <is>
          <t>N</t>
        </is>
      </c>
      <c r="BR59" s="25" t="inlineStr">
        <is>
          <t>N</t>
        </is>
      </c>
      <c r="BS59" s="25" t="inlineStr">
        <is>
          <t>N</t>
        </is>
      </c>
      <c r="BT59" s="25" t="inlineStr">
        <is>
          <t>N</t>
        </is>
      </c>
      <c r="BU59" s="25" t="inlineStr">
        <is>
          <t>N</t>
        </is>
      </c>
      <c r="BV59" s="25" t="inlineStr">
        <is>
          <t>N</t>
        </is>
      </c>
      <c r="BW59" s="25" t="inlineStr">
        <is>
          <t>N</t>
        </is>
      </c>
      <c r="BX59" s="25" t="inlineStr">
        <is>
          <t>N</t>
        </is>
      </c>
      <c r="BY59" s="25" t="inlineStr">
        <is>
          <t>N</t>
        </is>
      </c>
      <c r="BZ59" s="25" t="inlineStr">
        <is>
          <t>N</t>
        </is>
      </c>
      <c r="CA59" s="25" t="inlineStr">
        <is>
          <t>N</t>
        </is>
      </c>
      <c r="CB59" s="25" t="inlineStr">
        <is>
          <t>N</t>
        </is>
      </c>
      <c r="CC59" s="25" t="inlineStr">
        <is>
          <t>N</t>
        </is>
      </c>
      <c r="CD59" s="25" t="inlineStr">
        <is>
          <t>N</t>
        </is>
      </c>
      <c r="CE59" s="25" t="inlineStr">
        <is>
          <t>N</t>
        </is>
      </c>
      <c r="CF59" s="25" t="inlineStr">
        <is>
          <t>N</t>
        </is>
      </c>
      <c r="CG59" s="25" t="inlineStr">
        <is>
          <t>N</t>
        </is>
      </c>
      <c r="CH59" s="25" t="inlineStr">
        <is>
          <t>N</t>
        </is>
      </c>
      <c r="CI59" s="25" t="inlineStr">
        <is>
          <t>N</t>
        </is>
      </c>
      <c r="CJ59" s="25" t="inlineStr">
        <is>
          <t>N</t>
        </is>
      </c>
      <c r="CK59" s="25" t="inlineStr">
        <is>
          <t>N</t>
        </is>
      </c>
      <c r="CL59" s="25" t="inlineStr">
        <is>
          <t>N</t>
        </is>
      </c>
      <c r="CM59" s="25" t="inlineStr">
        <is>
          <t>N</t>
        </is>
      </c>
      <c r="CN59" s="25" t="inlineStr">
        <is>
          <t>N</t>
        </is>
      </c>
      <c r="CO59" s="25" t="inlineStr">
        <is>
          <t>N</t>
        </is>
      </c>
      <c r="CP59" s="25" t="inlineStr">
        <is>
          <t>N</t>
        </is>
      </c>
      <c r="CQ59" s="25" t="inlineStr">
        <is>
          <t>N</t>
        </is>
      </c>
      <c r="CR59" s="25" t="inlineStr">
        <is>
          <t>N</t>
        </is>
      </c>
      <c r="CS59" s="25" t="inlineStr">
        <is>
          <t>N</t>
        </is>
      </c>
      <c r="CT59" s="25" t="inlineStr">
        <is>
          <t>N</t>
        </is>
      </c>
      <c r="CU59" s="25" t="inlineStr">
        <is>
          <t>N</t>
        </is>
      </c>
      <c r="CV59" s="25" t="inlineStr">
        <is>
          <t>N</t>
        </is>
      </c>
      <c r="CW59" s="25" t="inlineStr">
        <is>
          <t>N</t>
        </is>
      </c>
      <c r="CX59" s="25" t="inlineStr">
        <is>
          <t>N</t>
        </is>
      </c>
      <c r="CY59" s="25" t="inlineStr">
        <is>
          <t>N</t>
        </is>
      </c>
      <c r="CZ59" s="25" t="inlineStr">
        <is>
          <t>N</t>
        </is>
      </c>
      <c r="DA59" s="25" t="inlineStr">
        <is>
          <t>N</t>
        </is>
      </c>
      <c r="DB59" s="25" t="inlineStr">
        <is>
          <t>N</t>
        </is>
      </c>
      <c r="DC59" s="25" t="inlineStr">
        <is>
          <t>N</t>
        </is>
      </c>
      <c r="DD59" s="25" t="inlineStr">
        <is>
          <t>N</t>
        </is>
      </c>
      <c r="DE59" s="25" t="inlineStr">
        <is>
          <t>N</t>
        </is>
      </c>
      <c r="DF59" s="25" t="inlineStr">
        <is>
          <t>N</t>
        </is>
      </c>
      <c r="DG59" s="25" t="inlineStr">
        <is>
          <t>N</t>
        </is>
      </c>
      <c r="DH59" s="25" t="inlineStr">
        <is>
          <t>N</t>
        </is>
      </c>
      <c r="DI59" s="25" t="inlineStr">
        <is>
          <t>N</t>
        </is>
      </c>
      <c r="DJ59" s="25" t="inlineStr">
        <is>
          <t>N</t>
        </is>
      </c>
      <c r="DK59" s="25" t="inlineStr">
        <is>
          <t>N</t>
        </is>
      </c>
      <c r="DL59" s="25" t="inlineStr">
        <is>
          <t>N</t>
        </is>
      </c>
      <c r="DM59" s="25" t="inlineStr">
        <is>
          <t>N</t>
        </is>
      </c>
      <c r="DN59" s="25" t="inlineStr">
        <is>
          <t>N</t>
        </is>
      </c>
      <c r="DO59" s="25" t="inlineStr">
        <is>
          <t>N</t>
        </is>
      </c>
      <c r="DP59" s="25" t="inlineStr">
        <is>
          <t>N</t>
        </is>
      </c>
      <c r="DQ59" s="25" t="inlineStr">
        <is>
          <t>N</t>
        </is>
      </c>
      <c r="DR59" s="25" t="inlineStr">
        <is>
          <t>N</t>
        </is>
      </c>
      <c r="DS59" s="25" t="inlineStr">
        <is>
          <t>N</t>
        </is>
      </c>
      <c r="DT59" s="25" t="inlineStr">
        <is>
          <t>N</t>
        </is>
      </c>
      <c r="DU59" s="25" t="inlineStr">
        <is>
          <t>N</t>
        </is>
      </c>
      <c r="DV59" s="25" t="inlineStr">
        <is>
          <t>N</t>
        </is>
      </c>
      <c r="DW59" s="25" t="inlineStr">
        <is>
          <t>N</t>
        </is>
      </c>
      <c r="DX59" s="25" t="inlineStr">
        <is>
          <t>N</t>
        </is>
      </c>
      <c r="DY59" s="25" t="inlineStr">
        <is>
          <t>N</t>
        </is>
      </c>
      <c r="DZ59" s="25" t="inlineStr">
        <is>
          <t>N</t>
        </is>
      </c>
      <c r="EA59" s="25" t="inlineStr">
        <is>
          <t>N</t>
        </is>
      </c>
      <c r="EB59" s="25" t="inlineStr">
        <is>
          <t>N</t>
        </is>
      </c>
      <c r="EC59" s="25" t="inlineStr">
        <is>
          <t>N</t>
        </is>
      </c>
      <c r="ED59" s="25" t="inlineStr">
        <is>
          <t>N</t>
        </is>
      </c>
      <c r="EE59" s="25" t="inlineStr">
        <is>
          <t>N</t>
        </is>
      </c>
      <c r="EF59" s="25" t="inlineStr">
        <is>
          <t>N</t>
        </is>
      </c>
      <c r="EG59" s="25" t="inlineStr">
        <is>
          <t>N</t>
        </is>
      </c>
      <c r="EH59" s="25" t="inlineStr">
        <is>
          <t>N</t>
        </is>
      </c>
      <c r="EI59" s="25" t="inlineStr">
        <is>
          <t>N</t>
        </is>
      </c>
      <c r="EJ59" s="25" t="inlineStr">
        <is>
          <t>N</t>
        </is>
      </c>
      <c r="EK59" s="25" t="inlineStr">
        <is>
          <t>N</t>
        </is>
      </c>
      <c r="EL59" s="25" t="inlineStr">
        <is>
          <t>N</t>
        </is>
      </c>
      <c r="EM59" s="25" t="inlineStr">
        <is>
          <t>N</t>
        </is>
      </c>
      <c r="EN59" s="25" t="inlineStr">
        <is>
          <t>N</t>
        </is>
      </c>
      <c r="EO59" s="25" t="inlineStr">
        <is>
          <t>N</t>
        </is>
      </c>
      <c r="EP59" s="25" t="inlineStr">
        <is>
          <t>N</t>
        </is>
      </c>
      <c r="EQ59" s="25" t="inlineStr">
        <is>
          <t>N</t>
        </is>
      </c>
      <c r="ER59" s="25" t="inlineStr">
        <is>
          <t>N</t>
        </is>
      </c>
      <c r="ES59" s="25" t="inlineStr">
        <is>
          <t>N</t>
        </is>
      </c>
      <c r="ET59" s="25" t="inlineStr">
        <is>
          <t>N</t>
        </is>
      </c>
      <c r="EU59" s="25" t="inlineStr">
        <is>
          <t>N</t>
        </is>
      </c>
      <c r="EV59" s="25" t="inlineStr">
        <is>
          <t>N</t>
        </is>
      </c>
      <c r="EW59" s="25" t="inlineStr">
        <is>
          <t>N</t>
        </is>
      </c>
      <c r="EX59" s="25" t="inlineStr">
        <is>
          <t>N</t>
        </is>
      </c>
      <c r="EY59" s="25" t="inlineStr">
        <is>
          <t>N</t>
        </is>
      </c>
      <c r="EZ59" s="25" t="inlineStr">
        <is>
          <t>N</t>
        </is>
      </c>
      <c r="FA59" s="25" t="inlineStr">
        <is>
          <t>N</t>
        </is>
      </c>
      <c r="FB59" s="25" t="inlineStr">
        <is>
          <t>N</t>
        </is>
      </c>
      <c r="FC59" s="25" t="inlineStr">
        <is>
          <t>N</t>
        </is>
      </c>
      <c r="FD59" s="25" t="inlineStr">
        <is>
          <t>N</t>
        </is>
      </c>
      <c r="FE59" s="25" t="inlineStr">
        <is>
          <t>N</t>
        </is>
      </c>
      <c r="FF59" s="25" t="inlineStr">
        <is>
          <t>N</t>
        </is>
      </c>
      <c r="FG59" s="25" t="inlineStr">
        <is>
          <t>N</t>
        </is>
      </c>
      <c r="FH59" s="25" t="inlineStr">
        <is>
          <t>N</t>
        </is>
      </c>
      <c r="FI59" s="25" t="inlineStr">
        <is>
          <t>N</t>
        </is>
      </c>
      <c r="FJ59" s="25" t="inlineStr">
        <is>
          <t>N</t>
        </is>
      </c>
      <c r="FK59" s="25" t="inlineStr">
        <is>
          <t>N</t>
        </is>
      </c>
      <c r="FL59" s="25" t="inlineStr">
        <is>
          <t>N</t>
        </is>
      </c>
      <c r="FM59" s="25" t="inlineStr">
        <is>
          <t>N</t>
        </is>
      </c>
      <c r="FN59" s="25" t="inlineStr">
        <is>
          <t>N</t>
        </is>
      </c>
      <c r="FO59" s="25" t="inlineStr">
        <is>
          <t>N</t>
        </is>
      </c>
      <c r="FP59" s="25" t="inlineStr">
        <is>
          <t>N</t>
        </is>
      </c>
      <c r="FQ59" s="25" t="inlineStr">
        <is>
          <t>N</t>
        </is>
      </c>
      <c r="FR59" s="25" t="inlineStr">
        <is>
          <t>N</t>
        </is>
      </c>
      <c r="FS59" s="25" t="inlineStr">
        <is>
          <t>N</t>
        </is>
      </c>
      <c r="FT59" s="25" t="inlineStr">
        <is>
          <t>N</t>
        </is>
      </c>
      <c r="FU59" s="25" t="inlineStr">
        <is>
          <t>N</t>
        </is>
      </c>
      <c r="FV59" s="25" t="inlineStr">
        <is>
          <t>N</t>
        </is>
      </c>
      <c r="FW59" s="25" t="inlineStr">
        <is>
          <t>N</t>
        </is>
      </c>
      <c r="FX59" s="25" t="inlineStr">
        <is>
          <t>N</t>
        </is>
      </c>
      <c r="FY59" s="25" t="inlineStr">
        <is>
          <t>N</t>
        </is>
      </c>
      <c r="FZ59" s="25" t="inlineStr">
        <is>
          <t>N</t>
        </is>
      </c>
      <c r="GA59" s="25" t="inlineStr">
        <is>
          <t>N</t>
        </is>
      </c>
      <c r="GB59" s="25" t="inlineStr">
        <is>
          <t>N</t>
        </is>
      </c>
      <c r="GC59" s="25" t="inlineStr">
        <is>
          <t>N</t>
        </is>
      </c>
      <c r="GD59" s="25" t="inlineStr">
        <is>
          <t>N</t>
        </is>
      </c>
      <c r="GE59" s="25" t="inlineStr">
        <is>
          <t>N</t>
        </is>
      </c>
      <c r="GF59" s="25" t="inlineStr">
        <is>
          <t>N</t>
        </is>
      </c>
      <c r="GG59" s="25" t="inlineStr">
        <is>
          <t>N</t>
        </is>
      </c>
      <c r="GH59" s="25" t="inlineStr">
        <is>
          <t>N</t>
        </is>
      </c>
      <c r="GI59" s="25" t="inlineStr">
        <is>
          <t>N</t>
        </is>
      </c>
      <c r="GJ59" s="25" t="inlineStr">
        <is>
          <t>N</t>
        </is>
      </c>
      <c r="GK59" s="25" t="inlineStr">
        <is>
          <t>N</t>
        </is>
      </c>
      <c r="GL59" s="25" t="inlineStr">
        <is>
          <t>N</t>
        </is>
      </c>
      <c r="GM59" s="25" t="inlineStr">
        <is>
          <t>N</t>
        </is>
      </c>
      <c r="GN59" s="25" t="inlineStr">
        <is>
          <t>N</t>
        </is>
      </c>
      <c r="GO59" s="25" t="inlineStr">
        <is>
          <t>N</t>
        </is>
      </c>
      <c r="GP59" s="25" t="inlineStr">
        <is>
          <t>N</t>
        </is>
      </c>
      <c r="GQ59" s="25" t="inlineStr">
        <is>
          <t>N</t>
        </is>
      </c>
      <c r="GR59" s="25" t="inlineStr">
        <is>
          <t>N</t>
        </is>
      </c>
      <c r="GS59" s="25" t="inlineStr">
        <is>
          <t>N</t>
        </is>
      </c>
      <c r="GT59" s="25" t="inlineStr">
        <is>
          <t>N</t>
        </is>
      </c>
      <c r="GU59" s="25" t="inlineStr">
        <is>
          <t>N</t>
        </is>
      </c>
      <c r="GV59" s="25" t="inlineStr">
        <is>
          <t>N</t>
        </is>
      </c>
      <c r="GW59" s="25" t="inlineStr">
        <is>
          <t>N</t>
        </is>
      </c>
      <c r="GX59" s="25" t="inlineStr">
        <is>
          <t>N</t>
        </is>
      </c>
    </row>
    <row r="60">
      <c r="A60" s="16" t="n"/>
      <c r="B60" s="17" t="inlineStr">
        <is>
          <t>Passed/Failed</t>
        </is>
      </c>
      <c r="C60" s="4" t="n"/>
      <c r="D60" s="4" t="n"/>
      <c r="E60" s="4" t="n"/>
      <c r="F60" s="25" t="inlineStr">
        <is>
          <t>P</t>
        </is>
      </c>
      <c r="G60" s="25" t="inlineStr">
        <is>
          <t>P</t>
        </is>
      </c>
      <c r="H60" s="25" t="inlineStr">
        <is>
          <t>P</t>
        </is>
      </c>
      <c r="I60" s="25" t="inlineStr">
        <is>
          <t>P</t>
        </is>
      </c>
      <c r="J60" s="25" t="inlineStr">
        <is>
          <t>P</t>
        </is>
      </c>
      <c r="K60" s="25" t="inlineStr">
        <is>
          <t>P</t>
        </is>
      </c>
      <c r="L60" s="25" t="inlineStr">
        <is>
          <t>P</t>
        </is>
      </c>
      <c r="M60" s="25" t="inlineStr">
        <is>
          <t>P</t>
        </is>
      </c>
      <c r="N60" s="25" t="inlineStr">
        <is>
          <t>P</t>
        </is>
      </c>
      <c r="O60" s="25" t="inlineStr">
        <is>
          <t>P</t>
        </is>
      </c>
      <c r="P60" s="25" t="inlineStr">
        <is>
          <t>P</t>
        </is>
      </c>
      <c r="Q60" s="25" t="inlineStr">
        <is>
          <t>P</t>
        </is>
      </c>
      <c r="R60" s="25" t="inlineStr">
        <is>
          <t>P</t>
        </is>
      </c>
      <c r="S60" s="25" t="inlineStr">
        <is>
          <t>P</t>
        </is>
      </c>
      <c r="T60" s="25" t="inlineStr">
        <is>
          <t>P</t>
        </is>
      </c>
      <c r="U60" s="25" t="inlineStr">
        <is>
          <t>P</t>
        </is>
      </c>
      <c r="V60" s="25" t="inlineStr">
        <is>
          <t>P</t>
        </is>
      </c>
      <c r="W60" s="25" t="inlineStr">
        <is>
          <t>P</t>
        </is>
      </c>
      <c r="X60" s="25" t="inlineStr">
        <is>
          <t>P</t>
        </is>
      </c>
      <c r="Y60" s="25" t="inlineStr">
        <is>
          <t>P</t>
        </is>
      </c>
      <c r="Z60" s="25" t="inlineStr">
        <is>
          <t>P</t>
        </is>
      </c>
      <c r="AA60" s="25" t="inlineStr">
        <is>
          <t>P</t>
        </is>
      </c>
      <c r="AB60" s="25" t="inlineStr">
        <is>
          <t>P</t>
        </is>
      </c>
      <c r="AC60" s="25" t="inlineStr">
        <is>
          <t>P</t>
        </is>
      </c>
      <c r="AD60" s="25" t="inlineStr">
        <is>
          <t>P</t>
        </is>
      </c>
      <c r="AE60" s="25" t="inlineStr">
        <is>
          <t>P</t>
        </is>
      </c>
      <c r="AF60" s="25" t="inlineStr">
        <is>
          <t>P</t>
        </is>
      </c>
      <c r="AG60" s="25" t="inlineStr">
        <is>
          <t>P</t>
        </is>
      </c>
      <c r="AH60" s="25" t="inlineStr">
        <is>
          <t>P</t>
        </is>
      </c>
      <c r="AI60" s="25" t="inlineStr">
        <is>
          <t>P</t>
        </is>
      </c>
      <c r="AJ60" s="25" t="inlineStr">
        <is>
          <t>P</t>
        </is>
      </c>
      <c r="AK60" s="25" t="inlineStr">
        <is>
          <t>P</t>
        </is>
      </c>
      <c r="AL60" s="25" t="inlineStr">
        <is>
          <t>P</t>
        </is>
      </c>
      <c r="AM60" s="25" t="inlineStr">
        <is>
          <t>P</t>
        </is>
      </c>
      <c r="AN60" s="25" t="inlineStr">
        <is>
          <t>P</t>
        </is>
      </c>
      <c r="AO60" s="25" t="inlineStr">
        <is>
          <t>P</t>
        </is>
      </c>
      <c r="AP60" s="25" t="inlineStr">
        <is>
          <t>P</t>
        </is>
      </c>
      <c r="AQ60" s="25" t="inlineStr">
        <is>
          <t>P</t>
        </is>
      </c>
      <c r="AR60" s="25" t="inlineStr">
        <is>
          <t>P</t>
        </is>
      </c>
      <c r="AS60" s="25" t="inlineStr">
        <is>
          <t>P</t>
        </is>
      </c>
      <c r="AT60" s="25" t="inlineStr">
        <is>
          <t>P</t>
        </is>
      </c>
      <c r="AU60" s="25" t="inlineStr">
        <is>
          <t>P</t>
        </is>
      </c>
      <c r="AV60" s="25" t="inlineStr">
        <is>
          <t>P</t>
        </is>
      </c>
      <c r="AW60" s="25" t="inlineStr">
        <is>
          <t>P</t>
        </is>
      </c>
      <c r="AX60" s="25" t="inlineStr">
        <is>
          <t>P</t>
        </is>
      </c>
      <c r="AY60" s="25" t="inlineStr">
        <is>
          <t>P</t>
        </is>
      </c>
      <c r="AZ60" s="25" t="inlineStr">
        <is>
          <t>P</t>
        </is>
      </c>
      <c r="BA60" s="25" t="inlineStr">
        <is>
          <t>P</t>
        </is>
      </c>
      <c r="BB60" s="25" t="inlineStr">
        <is>
          <t>P</t>
        </is>
      </c>
      <c r="BC60" s="25" t="inlineStr">
        <is>
          <t>P</t>
        </is>
      </c>
      <c r="BD60" s="25" t="inlineStr">
        <is>
          <t>P</t>
        </is>
      </c>
      <c r="BE60" s="25" t="inlineStr">
        <is>
          <t>P</t>
        </is>
      </c>
      <c r="BF60" s="25" t="inlineStr">
        <is>
          <t>P</t>
        </is>
      </c>
      <c r="BG60" s="25" t="inlineStr">
        <is>
          <t>P</t>
        </is>
      </c>
      <c r="BH60" s="25" t="inlineStr">
        <is>
          <t>P</t>
        </is>
      </c>
      <c r="BI60" s="25" t="inlineStr">
        <is>
          <t>P</t>
        </is>
      </c>
      <c r="BJ60" s="25" t="inlineStr">
        <is>
          <t>P</t>
        </is>
      </c>
      <c r="BK60" s="25" t="inlineStr">
        <is>
          <t>P</t>
        </is>
      </c>
      <c r="BL60" s="25" t="inlineStr">
        <is>
          <t>P</t>
        </is>
      </c>
      <c r="BM60" s="25" t="inlineStr">
        <is>
          <t>P</t>
        </is>
      </c>
      <c r="BN60" s="25" t="inlineStr">
        <is>
          <t>P</t>
        </is>
      </c>
      <c r="BO60" s="25" t="inlineStr">
        <is>
          <t>P</t>
        </is>
      </c>
      <c r="BP60" s="25" t="inlineStr">
        <is>
          <t>P</t>
        </is>
      </c>
      <c r="BQ60" s="25" t="inlineStr">
        <is>
          <t>P</t>
        </is>
      </c>
      <c r="BR60" s="25" t="inlineStr">
        <is>
          <t>P</t>
        </is>
      </c>
      <c r="BS60" s="25" t="inlineStr">
        <is>
          <t>P</t>
        </is>
      </c>
      <c r="BT60" s="25" t="inlineStr">
        <is>
          <t>P</t>
        </is>
      </c>
      <c r="BU60" s="25" t="inlineStr">
        <is>
          <t>P</t>
        </is>
      </c>
      <c r="BV60" s="25" t="inlineStr">
        <is>
          <t>P</t>
        </is>
      </c>
      <c r="BW60" s="25" t="inlineStr">
        <is>
          <t>P</t>
        </is>
      </c>
      <c r="BX60" s="25" t="inlineStr">
        <is>
          <t>P</t>
        </is>
      </c>
      <c r="BY60" s="25" t="inlineStr">
        <is>
          <t>P</t>
        </is>
      </c>
      <c r="BZ60" s="25" t="inlineStr">
        <is>
          <t>P</t>
        </is>
      </c>
      <c r="CA60" s="25" t="inlineStr">
        <is>
          <t>P</t>
        </is>
      </c>
      <c r="CB60" s="25" t="inlineStr">
        <is>
          <t>P</t>
        </is>
      </c>
      <c r="CC60" s="25" t="inlineStr">
        <is>
          <t>P</t>
        </is>
      </c>
      <c r="CD60" s="25" t="inlineStr">
        <is>
          <t>P</t>
        </is>
      </c>
      <c r="CE60" s="25" t="inlineStr">
        <is>
          <t>P</t>
        </is>
      </c>
      <c r="CF60" s="25" t="inlineStr">
        <is>
          <t>P</t>
        </is>
      </c>
      <c r="CG60" s="25" t="inlineStr">
        <is>
          <t>P</t>
        </is>
      </c>
      <c r="CH60" s="25" t="inlineStr">
        <is>
          <t>P</t>
        </is>
      </c>
      <c r="CI60" s="25" t="inlineStr">
        <is>
          <t>P</t>
        </is>
      </c>
      <c r="CJ60" s="25" t="inlineStr">
        <is>
          <t>P</t>
        </is>
      </c>
      <c r="CK60" s="25" t="inlineStr">
        <is>
          <t>P</t>
        </is>
      </c>
      <c r="CL60" s="25" t="inlineStr">
        <is>
          <t>P</t>
        </is>
      </c>
      <c r="CM60" s="25" t="inlineStr">
        <is>
          <t>P</t>
        </is>
      </c>
      <c r="CN60" s="25" t="inlineStr">
        <is>
          <t>P</t>
        </is>
      </c>
      <c r="CO60" s="25" t="inlineStr">
        <is>
          <t>P</t>
        </is>
      </c>
      <c r="CP60" s="25" t="inlineStr">
        <is>
          <t>P</t>
        </is>
      </c>
      <c r="CQ60" s="25" t="inlineStr">
        <is>
          <t>P</t>
        </is>
      </c>
      <c r="CR60" s="25" t="inlineStr">
        <is>
          <t>P</t>
        </is>
      </c>
      <c r="CS60" s="25" t="inlineStr">
        <is>
          <t>P</t>
        </is>
      </c>
      <c r="CT60" s="25" t="inlineStr">
        <is>
          <t>P</t>
        </is>
      </c>
      <c r="CU60" s="25" t="inlineStr">
        <is>
          <t>P</t>
        </is>
      </c>
      <c r="CV60" s="25" t="inlineStr">
        <is>
          <t>P</t>
        </is>
      </c>
      <c r="CW60" s="25" t="inlineStr">
        <is>
          <t>P</t>
        </is>
      </c>
      <c r="CX60" s="25" t="inlineStr">
        <is>
          <t>P</t>
        </is>
      </c>
      <c r="CY60" s="25" t="inlineStr">
        <is>
          <t>P</t>
        </is>
      </c>
      <c r="CZ60" s="25" t="inlineStr">
        <is>
          <t>P</t>
        </is>
      </c>
      <c r="DA60" s="25" t="inlineStr">
        <is>
          <t>P</t>
        </is>
      </c>
      <c r="DB60" s="25" t="inlineStr">
        <is>
          <t>P</t>
        </is>
      </c>
      <c r="DC60" s="25" t="inlineStr">
        <is>
          <t>P</t>
        </is>
      </c>
      <c r="DD60" s="25" t="inlineStr">
        <is>
          <t>P</t>
        </is>
      </c>
      <c r="DE60" s="25" t="inlineStr">
        <is>
          <t>P</t>
        </is>
      </c>
      <c r="DF60" s="25" t="inlineStr">
        <is>
          <t>P</t>
        </is>
      </c>
      <c r="DG60" s="25" t="inlineStr">
        <is>
          <t>P</t>
        </is>
      </c>
      <c r="DH60" s="25" t="inlineStr">
        <is>
          <t>P</t>
        </is>
      </c>
      <c r="DI60" s="25" t="inlineStr">
        <is>
          <t>P</t>
        </is>
      </c>
      <c r="DJ60" s="25" t="inlineStr">
        <is>
          <t>P</t>
        </is>
      </c>
      <c r="DK60" s="25" t="inlineStr">
        <is>
          <t>P</t>
        </is>
      </c>
      <c r="DL60" s="25" t="inlineStr">
        <is>
          <t>P</t>
        </is>
      </c>
      <c r="DM60" s="25" t="inlineStr">
        <is>
          <t>P</t>
        </is>
      </c>
      <c r="DN60" s="25" t="inlineStr">
        <is>
          <t>P</t>
        </is>
      </c>
      <c r="DO60" s="25" t="inlineStr">
        <is>
          <t>P</t>
        </is>
      </c>
      <c r="DP60" s="25" t="inlineStr">
        <is>
          <t>P</t>
        </is>
      </c>
      <c r="DQ60" s="25" t="inlineStr">
        <is>
          <t>P</t>
        </is>
      </c>
      <c r="DR60" s="25" t="inlineStr">
        <is>
          <t>P</t>
        </is>
      </c>
      <c r="DS60" s="25" t="inlineStr">
        <is>
          <t>P</t>
        </is>
      </c>
      <c r="DT60" s="25" t="inlineStr">
        <is>
          <t>P</t>
        </is>
      </c>
      <c r="DU60" s="25" t="inlineStr">
        <is>
          <t>P</t>
        </is>
      </c>
      <c r="DV60" s="25" t="inlineStr">
        <is>
          <t>P</t>
        </is>
      </c>
      <c r="DW60" s="25" t="inlineStr">
        <is>
          <t>P</t>
        </is>
      </c>
      <c r="DX60" s="25" t="inlineStr">
        <is>
          <t>P</t>
        </is>
      </c>
      <c r="DY60" s="25" t="inlineStr">
        <is>
          <t>P</t>
        </is>
      </c>
      <c r="DZ60" s="25" t="inlineStr">
        <is>
          <t>P</t>
        </is>
      </c>
      <c r="EA60" s="25" t="inlineStr">
        <is>
          <t>P</t>
        </is>
      </c>
      <c r="EB60" s="25" t="inlineStr">
        <is>
          <t>P</t>
        </is>
      </c>
      <c r="EC60" s="25" t="inlineStr">
        <is>
          <t>P</t>
        </is>
      </c>
      <c r="ED60" s="25" t="inlineStr">
        <is>
          <t>P</t>
        </is>
      </c>
      <c r="EE60" s="25" t="inlineStr">
        <is>
          <t>P</t>
        </is>
      </c>
      <c r="EF60" s="25" t="inlineStr">
        <is>
          <t>P</t>
        </is>
      </c>
      <c r="EG60" s="25" t="inlineStr">
        <is>
          <t>P</t>
        </is>
      </c>
      <c r="EH60" s="25" t="inlineStr">
        <is>
          <t>P</t>
        </is>
      </c>
      <c r="EI60" s="25" t="inlineStr">
        <is>
          <t>P</t>
        </is>
      </c>
      <c r="EJ60" s="25" t="inlineStr">
        <is>
          <t>P</t>
        </is>
      </c>
      <c r="EK60" s="25" t="inlineStr">
        <is>
          <t>P</t>
        </is>
      </c>
      <c r="EL60" s="25" t="inlineStr">
        <is>
          <t>P</t>
        </is>
      </c>
      <c r="EM60" s="25" t="inlineStr">
        <is>
          <t>P</t>
        </is>
      </c>
      <c r="EN60" s="25" t="inlineStr">
        <is>
          <t>P</t>
        </is>
      </c>
      <c r="EO60" s="25" t="inlineStr">
        <is>
          <t>P</t>
        </is>
      </c>
      <c r="EP60" s="25" t="inlineStr">
        <is>
          <t>P</t>
        </is>
      </c>
      <c r="EQ60" s="25" t="inlineStr">
        <is>
          <t>P</t>
        </is>
      </c>
      <c r="ER60" s="25" t="inlineStr">
        <is>
          <t>P</t>
        </is>
      </c>
      <c r="ES60" s="25" t="inlineStr">
        <is>
          <t>P</t>
        </is>
      </c>
      <c r="ET60" s="25" t="inlineStr">
        <is>
          <t>P</t>
        </is>
      </c>
      <c r="EU60" s="25" t="inlineStr">
        <is>
          <t>P</t>
        </is>
      </c>
      <c r="EV60" s="25" t="inlineStr">
        <is>
          <t>P</t>
        </is>
      </c>
      <c r="EW60" s="25" t="inlineStr">
        <is>
          <t>P</t>
        </is>
      </c>
      <c r="EX60" s="25" t="inlineStr">
        <is>
          <t>P</t>
        </is>
      </c>
      <c r="EY60" s="25" t="inlineStr">
        <is>
          <t>P</t>
        </is>
      </c>
      <c r="EZ60" s="25" t="inlineStr">
        <is>
          <t>P</t>
        </is>
      </c>
      <c r="FA60" s="25" t="inlineStr">
        <is>
          <t>P</t>
        </is>
      </c>
      <c r="FB60" s="25" t="inlineStr">
        <is>
          <t>P</t>
        </is>
      </c>
      <c r="FC60" s="25" t="inlineStr">
        <is>
          <t>P</t>
        </is>
      </c>
      <c r="FD60" s="25" t="inlineStr">
        <is>
          <t>P</t>
        </is>
      </c>
      <c r="FE60" s="25" t="inlineStr">
        <is>
          <t>P</t>
        </is>
      </c>
      <c r="FF60" s="25" t="inlineStr">
        <is>
          <t>P</t>
        </is>
      </c>
      <c r="FG60" s="25" t="inlineStr">
        <is>
          <t>P</t>
        </is>
      </c>
      <c r="FH60" s="25" t="inlineStr">
        <is>
          <t>P</t>
        </is>
      </c>
      <c r="FI60" s="25" t="inlineStr">
        <is>
          <t>P</t>
        </is>
      </c>
      <c r="FJ60" s="25" t="inlineStr">
        <is>
          <t>P</t>
        </is>
      </c>
      <c r="FK60" s="25" t="inlineStr">
        <is>
          <t>P</t>
        </is>
      </c>
      <c r="FL60" s="25" t="inlineStr">
        <is>
          <t>P</t>
        </is>
      </c>
      <c r="FM60" s="25" t="inlineStr">
        <is>
          <t>P</t>
        </is>
      </c>
      <c r="FN60" s="25" t="inlineStr">
        <is>
          <t>P</t>
        </is>
      </c>
      <c r="FO60" s="25" t="inlineStr">
        <is>
          <t>P</t>
        </is>
      </c>
      <c r="FP60" s="25" t="inlineStr">
        <is>
          <t>P</t>
        </is>
      </c>
      <c r="FQ60" s="25" t="inlineStr">
        <is>
          <t>P</t>
        </is>
      </c>
      <c r="FR60" s="25" t="inlineStr">
        <is>
          <t>P</t>
        </is>
      </c>
      <c r="FS60" s="25" t="inlineStr">
        <is>
          <t>P</t>
        </is>
      </c>
      <c r="FT60" s="25" t="inlineStr">
        <is>
          <t>P</t>
        </is>
      </c>
      <c r="FU60" s="25" t="inlineStr">
        <is>
          <t>P</t>
        </is>
      </c>
      <c r="FV60" s="25" t="inlineStr">
        <is>
          <t>P</t>
        </is>
      </c>
      <c r="FW60" s="25" t="inlineStr">
        <is>
          <t>P</t>
        </is>
      </c>
      <c r="FX60" s="25" t="inlineStr">
        <is>
          <t>P</t>
        </is>
      </c>
      <c r="FY60" s="25" t="inlineStr">
        <is>
          <t>P</t>
        </is>
      </c>
      <c r="FZ60" s="25" t="inlineStr">
        <is>
          <t>P</t>
        </is>
      </c>
      <c r="GA60" s="25" t="inlineStr">
        <is>
          <t>P</t>
        </is>
      </c>
      <c r="GB60" s="25" t="inlineStr">
        <is>
          <t>P</t>
        </is>
      </c>
      <c r="GC60" s="25" t="inlineStr">
        <is>
          <t>P</t>
        </is>
      </c>
      <c r="GD60" s="25" t="inlineStr">
        <is>
          <t>P</t>
        </is>
      </c>
      <c r="GE60" s="25" t="inlineStr">
        <is>
          <t>P</t>
        </is>
      </c>
      <c r="GF60" s="25" t="inlineStr">
        <is>
          <t>P</t>
        </is>
      </c>
      <c r="GG60" s="25" t="inlineStr">
        <is>
          <t>P</t>
        </is>
      </c>
      <c r="GH60" s="25" t="inlineStr">
        <is>
          <t>P</t>
        </is>
      </c>
      <c r="GI60" s="25" t="inlineStr">
        <is>
          <t>P</t>
        </is>
      </c>
      <c r="GJ60" s="25" t="inlineStr">
        <is>
          <t>P</t>
        </is>
      </c>
      <c r="GK60" s="25" t="inlineStr">
        <is>
          <t>P</t>
        </is>
      </c>
      <c r="GL60" s="25" t="inlineStr">
        <is>
          <t>P</t>
        </is>
      </c>
      <c r="GM60" s="25" t="inlineStr">
        <is>
          <t>P</t>
        </is>
      </c>
      <c r="GN60" s="25" t="inlineStr">
        <is>
          <t>P</t>
        </is>
      </c>
      <c r="GO60" s="25" t="inlineStr">
        <is>
          <t>P</t>
        </is>
      </c>
      <c r="GP60" s="25" t="inlineStr">
        <is>
          <t>P</t>
        </is>
      </c>
      <c r="GQ60" s="25" t="inlineStr">
        <is>
          <t>P</t>
        </is>
      </c>
      <c r="GR60" s="25" t="inlineStr">
        <is>
          <t>P</t>
        </is>
      </c>
      <c r="GS60" s="25" t="inlineStr">
        <is>
          <t>P</t>
        </is>
      </c>
      <c r="GT60" s="25" t="inlineStr">
        <is>
          <t>P</t>
        </is>
      </c>
      <c r="GU60" s="25" t="inlineStr">
        <is>
          <t>P</t>
        </is>
      </c>
      <c r="GV60" s="25" t="inlineStr">
        <is>
          <t>P</t>
        </is>
      </c>
      <c r="GW60" s="25" t="inlineStr">
        <is>
          <t>P</t>
        </is>
      </c>
      <c r="GX60" s="25" t="inlineStr">
        <is>
          <t>P</t>
        </is>
      </c>
    </row>
    <row r="61">
      <c r="A61" s="16" t="n"/>
      <c r="B61" s="17" t="inlineStr">
        <is>
          <t>Executed Date</t>
        </is>
      </c>
      <c r="C61" s="4" t="n"/>
      <c r="D61" s="4" t="n"/>
      <c r="E61" s="4" t="n"/>
      <c r="F61" s="26" t="n">
        <v>46215</v>
      </c>
      <c r="G61" s="26" t="n">
        <v>46215</v>
      </c>
      <c r="H61" s="26" t="n">
        <v>46215</v>
      </c>
      <c r="I61" s="26" t="n">
        <v>46215</v>
      </c>
      <c r="J61" s="26" t="n">
        <v>46215</v>
      </c>
      <c r="K61" s="26" t="n">
        <v>46215</v>
      </c>
      <c r="L61" s="26" t="n">
        <v>46215</v>
      </c>
      <c r="M61" s="26" t="n">
        <v>46215</v>
      </c>
      <c r="N61" s="26" t="n">
        <v>46215</v>
      </c>
      <c r="O61" s="26" t="n">
        <v>46215</v>
      </c>
      <c r="P61" s="26" t="n">
        <v>46215</v>
      </c>
      <c r="Q61" s="26" t="n">
        <v>46215</v>
      </c>
      <c r="R61" s="26" t="n">
        <v>46215</v>
      </c>
      <c r="S61" s="26" t="n">
        <v>46215</v>
      </c>
      <c r="T61" s="26" t="n">
        <v>46215</v>
      </c>
      <c r="U61" s="26" t="n">
        <v>46215</v>
      </c>
      <c r="V61" s="26" t="n">
        <v>46215</v>
      </c>
      <c r="W61" s="26" t="n">
        <v>46215</v>
      </c>
      <c r="X61" s="26" t="n">
        <v>46215</v>
      </c>
      <c r="Y61" s="26" t="n">
        <v>46215</v>
      </c>
      <c r="Z61" s="26" t="n">
        <v>46215</v>
      </c>
      <c r="AA61" s="26" t="n">
        <v>46215</v>
      </c>
      <c r="AB61" s="26" t="n">
        <v>46215</v>
      </c>
      <c r="AC61" s="26" t="n">
        <v>46215</v>
      </c>
      <c r="AD61" s="26" t="n">
        <v>46215</v>
      </c>
      <c r="AE61" s="26" t="n">
        <v>46215</v>
      </c>
      <c r="AF61" s="26" t="n">
        <v>46215</v>
      </c>
      <c r="AG61" s="26" t="n">
        <v>46215</v>
      </c>
      <c r="AH61" s="26" t="n">
        <v>46215</v>
      </c>
      <c r="AI61" s="26" t="n">
        <v>46215</v>
      </c>
      <c r="AJ61" s="26" t="n">
        <v>46215</v>
      </c>
      <c r="AK61" s="26" t="n">
        <v>46215</v>
      </c>
      <c r="AL61" s="26" t="n">
        <v>46215</v>
      </c>
      <c r="AM61" s="26" t="n">
        <v>46215</v>
      </c>
      <c r="AN61" s="26" t="n">
        <v>46215</v>
      </c>
      <c r="AO61" s="26" t="n">
        <v>46215</v>
      </c>
      <c r="AP61" s="26" t="n">
        <v>46215</v>
      </c>
      <c r="AQ61" s="26" t="n">
        <v>46215</v>
      </c>
      <c r="AR61" s="26" t="n">
        <v>46215</v>
      </c>
      <c r="AS61" s="26" t="n">
        <v>46215</v>
      </c>
      <c r="AT61" s="26" t="n">
        <v>46215</v>
      </c>
      <c r="AU61" s="26" t="n">
        <v>46215</v>
      </c>
      <c r="AV61" s="26" t="n">
        <v>46215</v>
      </c>
      <c r="AW61" s="26" t="n">
        <v>46215</v>
      </c>
      <c r="AX61" s="26" t="n">
        <v>46215</v>
      </c>
      <c r="AY61" s="26" t="n">
        <v>46215</v>
      </c>
      <c r="AZ61" s="26" t="n">
        <v>46215</v>
      </c>
      <c r="BA61" s="26" t="n">
        <v>46215</v>
      </c>
      <c r="BB61" s="26" t="n">
        <v>46215</v>
      </c>
      <c r="BC61" s="26" t="n">
        <v>46215</v>
      </c>
      <c r="BD61" s="26" t="n">
        <v>46215</v>
      </c>
      <c r="BE61" s="26" t="n">
        <v>46215</v>
      </c>
      <c r="BF61" s="26" t="n">
        <v>46215</v>
      </c>
      <c r="BG61" s="26" t="n">
        <v>46215</v>
      </c>
      <c r="BH61" s="26" t="n">
        <v>46215</v>
      </c>
      <c r="BI61" s="26" t="n">
        <v>46215</v>
      </c>
      <c r="BJ61" s="26" t="n">
        <v>46215</v>
      </c>
      <c r="BK61" s="26" t="n">
        <v>46215</v>
      </c>
      <c r="BL61" s="26" t="n">
        <v>46215</v>
      </c>
      <c r="BM61" s="26" t="n">
        <v>46215</v>
      </c>
      <c r="BN61" s="26" t="n">
        <v>46215</v>
      </c>
      <c r="BO61" s="26" t="n">
        <v>46215</v>
      </c>
      <c r="BP61" s="26" t="n">
        <v>46215</v>
      </c>
      <c r="BQ61" s="26" t="n">
        <v>46215</v>
      </c>
      <c r="BR61" s="26" t="n">
        <v>46215</v>
      </c>
      <c r="BS61" s="26" t="n">
        <v>46215</v>
      </c>
      <c r="BT61" s="26" t="n">
        <v>46215</v>
      </c>
      <c r="BU61" s="26" t="n">
        <v>46215</v>
      </c>
      <c r="BV61" s="26" t="n">
        <v>46215</v>
      </c>
      <c r="BW61" s="26" t="n">
        <v>46215</v>
      </c>
      <c r="BX61" s="26" t="n">
        <v>46215</v>
      </c>
      <c r="BY61" s="26" t="n">
        <v>46215</v>
      </c>
      <c r="BZ61" s="26" t="n">
        <v>46215</v>
      </c>
      <c r="CA61" s="26" t="n">
        <v>46215</v>
      </c>
      <c r="CB61" s="26" t="n">
        <v>46215</v>
      </c>
      <c r="CC61" s="26" t="n">
        <v>46215</v>
      </c>
      <c r="CD61" s="26" t="n">
        <v>46215</v>
      </c>
      <c r="CE61" s="26" t="n">
        <v>46215</v>
      </c>
      <c r="CF61" s="26" t="n">
        <v>46215</v>
      </c>
      <c r="CG61" s="26" t="n">
        <v>46215</v>
      </c>
      <c r="CH61" s="26" t="n">
        <v>46215</v>
      </c>
      <c r="CI61" s="26" t="n">
        <v>46215</v>
      </c>
      <c r="CJ61" s="26" t="n">
        <v>46215</v>
      </c>
      <c r="CK61" s="26" t="n">
        <v>46215</v>
      </c>
      <c r="CL61" s="26" t="n">
        <v>46215</v>
      </c>
      <c r="CM61" s="26" t="n">
        <v>46215</v>
      </c>
      <c r="CN61" s="26" t="n">
        <v>46215</v>
      </c>
      <c r="CO61" s="26" t="n">
        <v>46215</v>
      </c>
      <c r="CP61" s="26" t="n">
        <v>46215</v>
      </c>
      <c r="CQ61" s="26" t="n">
        <v>46215</v>
      </c>
      <c r="CR61" s="26" t="n">
        <v>46215</v>
      </c>
      <c r="CS61" s="26" t="n">
        <v>46215</v>
      </c>
      <c r="CT61" s="26" t="n">
        <v>46215</v>
      </c>
      <c r="CU61" s="26" t="n">
        <v>46215</v>
      </c>
      <c r="CV61" s="26" t="n">
        <v>46215</v>
      </c>
      <c r="CW61" s="26" t="n">
        <v>46215</v>
      </c>
      <c r="CX61" s="26" t="n">
        <v>46215</v>
      </c>
      <c r="CY61" s="26" t="n">
        <v>46215</v>
      </c>
      <c r="CZ61" s="26" t="n">
        <v>46215</v>
      </c>
      <c r="DA61" s="26" t="n">
        <v>46215</v>
      </c>
      <c r="DB61" s="26" t="n">
        <v>46215</v>
      </c>
      <c r="DC61" s="26" t="n">
        <v>46215</v>
      </c>
      <c r="DD61" s="26" t="n">
        <v>46215</v>
      </c>
      <c r="DE61" s="26" t="n">
        <v>46215</v>
      </c>
      <c r="DF61" s="26" t="n">
        <v>46215</v>
      </c>
      <c r="DG61" s="26" t="n">
        <v>46215</v>
      </c>
      <c r="DH61" s="26" t="n">
        <v>46215</v>
      </c>
      <c r="DI61" s="26" t="n">
        <v>46215</v>
      </c>
      <c r="DJ61" s="26" t="n">
        <v>46215</v>
      </c>
      <c r="DK61" s="26" t="n">
        <v>46215</v>
      </c>
      <c r="DL61" s="26" t="n">
        <v>46215</v>
      </c>
      <c r="DM61" s="26" t="n">
        <v>46215</v>
      </c>
      <c r="DN61" s="26" t="n">
        <v>46215</v>
      </c>
      <c r="DO61" s="26" t="n">
        <v>46215</v>
      </c>
      <c r="DP61" s="26" t="n">
        <v>46215</v>
      </c>
      <c r="DQ61" s="26" t="n">
        <v>46215</v>
      </c>
      <c r="DR61" s="26" t="n">
        <v>46215</v>
      </c>
      <c r="DS61" s="26" t="n">
        <v>46215</v>
      </c>
      <c r="DT61" s="26" t="n">
        <v>46215</v>
      </c>
      <c r="DU61" s="26" t="n">
        <v>46215</v>
      </c>
      <c r="DV61" s="26" t="n">
        <v>46215</v>
      </c>
      <c r="DW61" s="26" t="n">
        <v>46215</v>
      </c>
      <c r="DX61" s="26" t="n">
        <v>46215</v>
      </c>
      <c r="DY61" s="26" t="n">
        <v>46215</v>
      </c>
      <c r="DZ61" s="26" t="n">
        <v>46215</v>
      </c>
      <c r="EA61" s="26" t="n">
        <v>46215</v>
      </c>
      <c r="EB61" s="26" t="n">
        <v>46215</v>
      </c>
      <c r="EC61" s="26" t="n">
        <v>46215</v>
      </c>
      <c r="ED61" s="26" t="n">
        <v>46215</v>
      </c>
      <c r="EE61" s="26" t="n">
        <v>46215</v>
      </c>
      <c r="EF61" s="26" t="n">
        <v>46215</v>
      </c>
      <c r="EG61" s="26" t="n">
        <v>46215</v>
      </c>
      <c r="EH61" s="26" t="n">
        <v>46215</v>
      </c>
      <c r="EI61" s="26" t="n">
        <v>46215</v>
      </c>
      <c r="EJ61" s="26" t="n">
        <v>46215</v>
      </c>
      <c r="EK61" s="26" t="n">
        <v>46215</v>
      </c>
      <c r="EL61" s="26" t="n">
        <v>46215</v>
      </c>
      <c r="EM61" s="26" t="n">
        <v>46215</v>
      </c>
      <c r="EN61" s="26" t="n">
        <v>46215</v>
      </c>
      <c r="EO61" s="26" t="n">
        <v>46215</v>
      </c>
      <c r="EP61" s="26" t="n">
        <v>46215</v>
      </c>
      <c r="EQ61" s="26" t="n">
        <v>46215</v>
      </c>
      <c r="ER61" s="26" t="n">
        <v>46215</v>
      </c>
      <c r="ES61" s="26" t="n">
        <v>46215</v>
      </c>
      <c r="ET61" s="26" t="n">
        <v>46215</v>
      </c>
      <c r="EU61" s="26" t="n">
        <v>46215</v>
      </c>
      <c r="EV61" s="26" t="n">
        <v>46215</v>
      </c>
      <c r="EW61" s="26" t="n">
        <v>46215</v>
      </c>
      <c r="EX61" s="26" t="n">
        <v>46215</v>
      </c>
      <c r="EY61" s="26" t="n">
        <v>46215</v>
      </c>
      <c r="EZ61" s="26" t="n">
        <v>46215</v>
      </c>
      <c r="FA61" s="26" t="n">
        <v>46215</v>
      </c>
      <c r="FB61" s="26" t="n">
        <v>46215</v>
      </c>
      <c r="FC61" s="26" t="n">
        <v>46215</v>
      </c>
      <c r="FD61" s="26" t="n">
        <v>46215</v>
      </c>
      <c r="FE61" s="26" t="n">
        <v>46215</v>
      </c>
      <c r="FF61" s="26" t="n">
        <v>46215</v>
      </c>
      <c r="FG61" s="26" t="n">
        <v>46215</v>
      </c>
      <c r="FH61" s="26" t="n">
        <v>46215</v>
      </c>
      <c r="FI61" s="26" t="n">
        <v>46215</v>
      </c>
      <c r="FJ61" s="26" t="n">
        <v>46215</v>
      </c>
      <c r="FK61" s="26" t="n">
        <v>46215</v>
      </c>
      <c r="FL61" s="26" t="n">
        <v>46215</v>
      </c>
      <c r="FM61" s="26" t="n">
        <v>46215</v>
      </c>
      <c r="FN61" s="26" t="n">
        <v>46215</v>
      </c>
      <c r="FO61" s="26" t="n">
        <v>46215</v>
      </c>
      <c r="FP61" s="26" t="n">
        <v>46215</v>
      </c>
      <c r="FQ61" s="26" t="n">
        <v>46215</v>
      </c>
      <c r="FR61" s="26" t="n">
        <v>46215</v>
      </c>
      <c r="FS61" s="26" t="n">
        <v>46215</v>
      </c>
      <c r="FT61" s="26" t="n">
        <v>46215</v>
      </c>
      <c r="FU61" s="26" t="n">
        <v>46215</v>
      </c>
      <c r="FV61" s="26" t="n">
        <v>46215</v>
      </c>
      <c r="FW61" s="26" t="n">
        <v>46215</v>
      </c>
      <c r="FX61" s="26" t="n">
        <v>46215</v>
      </c>
      <c r="FY61" s="26" t="n">
        <v>46215</v>
      </c>
      <c r="FZ61" s="26" t="n">
        <v>46215</v>
      </c>
      <c r="GA61" s="26" t="n">
        <v>46215</v>
      </c>
      <c r="GB61" s="26" t="n">
        <v>46215</v>
      </c>
      <c r="GC61" s="26" t="n">
        <v>46215</v>
      </c>
      <c r="GD61" s="26" t="n">
        <v>46215</v>
      </c>
      <c r="GE61" s="26" t="n">
        <v>46215</v>
      </c>
      <c r="GF61" s="26" t="n">
        <v>46215</v>
      </c>
      <c r="GG61" s="26" t="n">
        <v>46215</v>
      </c>
      <c r="GH61" s="26" t="n">
        <v>46215</v>
      </c>
      <c r="GI61" s="26" t="n">
        <v>46215</v>
      </c>
      <c r="GJ61" s="26" t="n">
        <v>46215</v>
      </c>
      <c r="GK61" s="26" t="n">
        <v>46215</v>
      </c>
      <c r="GL61" s="26" t="n">
        <v>46215</v>
      </c>
      <c r="GM61" s="26" t="n">
        <v>46215</v>
      </c>
      <c r="GN61" s="26" t="n">
        <v>46215</v>
      </c>
      <c r="GO61" s="26" t="n">
        <v>46215</v>
      </c>
      <c r="GP61" s="26" t="n">
        <v>46215</v>
      </c>
      <c r="GQ61" s="26" t="n">
        <v>46215</v>
      </c>
      <c r="GR61" s="26" t="n">
        <v>46215</v>
      </c>
      <c r="GS61" s="26" t="n">
        <v>46215</v>
      </c>
      <c r="GT61" s="26" t="n">
        <v>46215</v>
      </c>
      <c r="GU61" s="26" t="n">
        <v>46215</v>
      </c>
      <c r="GV61" s="26" t="n">
        <v>46215</v>
      </c>
      <c r="GW61" s="26" t="n">
        <v>46215</v>
      </c>
      <c r="GX61" s="26" t="n">
        <v>46215</v>
      </c>
    </row>
    <row r="62">
      <c r="A62" s="16" t="n"/>
      <c r="B62" s="17" t="inlineStr">
        <is>
          <t>Defect ID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/>
      <c r="DX62" s="4" t="n"/>
      <c r="DY62" s="4" t="n"/>
      <c r="DZ62" s="4" t="n"/>
      <c r="EA62" s="4" t="n"/>
      <c r="EB62" s="4" t="n"/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/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/>
      <c r="EV62" s="4" t="n"/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4" t="n"/>
      <c r="GM62" s="4" t="n"/>
      <c r="GN62" s="4" t="n"/>
      <c r="GO62" s="4" t="n"/>
      <c r="GP62" s="4" t="n"/>
      <c r="GQ62" s="4" t="n"/>
      <c r="GR62" s="4" t="n"/>
      <c r="GS62" s="4" t="n"/>
      <c r="GT62" s="4" t="n"/>
      <c r="GU62" s="4" t="n"/>
      <c r="GV62" s="4" t="n"/>
      <c r="GW62" s="4" t="n"/>
      <c r="GX62" s="4" t="n"/>
    </row>
  </sheetData>
  <mergeCells count="27">
    <mergeCell ref="F2:K2"/>
    <mergeCell ref="A6:B6"/>
    <mergeCell ref="C4:D4"/>
    <mergeCell ref="C2:E2"/>
    <mergeCell ref="L4:GX4"/>
    <mergeCell ref="A7:B7"/>
    <mergeCell ref="B62:E62"/>
    <mergeCell ref="B59:E59"/>
    <mergeCell ref="C7:E7"/>
    <mergeCell ref="L6:N6"/>
    <mergeCell ref="A3:B3"/>
    <mergeCell ref="A2:B2"/>
    <mergeCell ref="A5:B5"/>
    <mergeCell ref="C3:E3"/>
    <mergeCell ref="F4:K4"/>
    <mergeCell ref="O7:GX7"/>
    <mergeCell ref="C6:E6"/>
    <mergeCell ref="B60:E60"/>
    <mergeCell ref="A4:B4"/>
    <mergeCell ref="L2:GX2"/>
    <mergeCell ref="B61:E61"/>
    <mergeCell ref="F6:K6"/>
    <mergeCell ref="O6:GX6"/>
    <mergeCell ref="F7:K7"/>
    <mergeCell ref="C5:GX5"/>
    <mergeCell ref="L3:N3"/>
    <mergeCell ref="F3:K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AE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</cols>
  <sheetData>
    <row r="2">
      <c r="A2" s="15" t="inlineStr">
        <is>
          <t>Function Code</t>
        </is>
      </c>
      <c r="B2" s="16" t="n"/>
      <c r="C2" s="17" t="inlineStr">
        <is>
          <t>F5SystemServletTest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F5SystemServlet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>
      <c r="A4" s="15" t="inlineStr">
        <is>
          <t>Lines  of code</t>
        </is>
      </c>
      <c r="B4" s="16" t="n"/>
      <c r="C4" s="17" t="n">
        <v>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>
      <c r="A5" s="15" t="inlineStr">
        <is>
          <t>Test requirement</t>
        </is>
      </c>
      <c r="B5" s="16" t="n"/>
      <c r="C5" s="17" t="inlineStr">
        <is>
          <t>Unit test for F5SystemServlet (f5)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>
      <c r="A7" s="20">
        <f>COUNTIF(F45:AE45,"P")</f>
        <v/>
      </c>
      <c r="B7" s="4" t="n"/>
      <c r="C7" s="20">
        <f>COUNTIF(F45:AE45,"F")</f>
        <v/>
      </c>
      <c r="D7" s="4" t="n"/>
      <c r="E7" s="4" t="n"/>
      <c r="F7" s="20">
        <f>26-A7-C7</f>
        <v/>
      </c>
      <c r="G7" s="4" t="n"/>
      <c r="H7" s="4" t="n"/>
      <c r="I7" s="4" t="n"/>
      <c r="J7" s="4" t="n"/>
      <c r="K7" s="4" t="n"/>
      <c r="L7" s="17">
        <f>COUNTIF(F44:AE44,"N")</f>
        <v/>
      </c>
      <c r="M7" s="17">
        <f>COUNTIF(F44:AE44,"A")</f>
        <v/>
      </c>
      <c r="N7" s="17">
        <f>COUNTIF(F44:AE44,"B")</f>
        <v/>
      </c>
      <c r="O7" s="20" t="n">
        <v>26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>
      <c r="A14" s="16" t="n"/>
      <c r="B14" s="18" t="inlineStr">
        <is>
          <t>servletName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>
      <c r="A17" s="16" t="n"/>
      <c r="B17" s="18" t="inlineStr">
        <is>
          <t>method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>
      <c r="A20" s="16" t="n"/>
      <c r="B20" s="18" t="inlineStr">
        <is>
          <t>userRole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>
      <c r="A23" s="16" t="n"/>
      <c r="B23" s="18" t="inlineStr">
        <is>
          <t>bookIdParam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>
      <c r="A26" s="16" t="n"/>
      <c r="B26" s="18" t="inlineStr">
        <is>
          <t>reservationIdParam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A29" s="16" t="n"/>
      <c r="B29" s="18" t="inlineStr">
        <is>
          <t>borrowRecordIdParam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>
      <c r="A32" s="16" t="n"/>
      <c r="B32" s="18" t="inlineStr">
        <is>
          <t>expectLoginRedirect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6">
      <c r="A36" s="15" t="inlineStr">
        <is>
          <t>Confirm</t>
        </is>
      </c>
      <c r="B36" s="18" t="inlineStr">
        <is>
          <t>Return</t>
        </is>
      </c>
      <c r="C36" s="19" t="n"/>
      <c r="D36" s="19" t="n"/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>
      <c r="A37" s="16" t="n"/>
      <c r="B37" s="19" t="n"/>
      <c r="C37" s="19" t="n"/>
      <c r="D37" s="23" t="inlineStr">
        <is>
          <t>Assertion verified</t>
        </is>
      </c>
      <c r="E37" s="22" t="n"/>
      <c r="F37" s="24" t="inlineStr">
        <is>
          <t>O</t>
        </is>
      </c>
      <c r="G37" s="24" t="inlineStr">
        <is>
          <t>O</t>
        </is>
      </c>
      <c r="H37" s="24" t="inlineStr">
        <is>
          <t>O</t>
        </is>
      </c>
      <c r="I37" s="24" t="inlineStr">
        <is>
          <t>O</t>
        </is>
      </c>
      <c r="J37" s="24" t="inlineStr">
        <is>
          <t>O</t>
        </is>
      </c>
      <c r="K37" s="24" t="inlineStr">
        <is>
          <t>O</t>
        </is>
      </c>
      <c r="L37" s="24" t="inlineStr">
        <is>
          <t>O</t>
        </is>
      </c>
      <c r="M37" s="24" t="inlineStr">
        <is>
          <t>O</t>
        </is>
      </c>
      <c r="N37" s="24" t="inlineStr">
        <is>
          <t>O</t>
        </is>
      </c>
      <c r="O37" s="24" t="inlineStr">
        <is>
          <t>O</t>
        </is>
      </c>
      <c r="P37" s="24" t="inlineStr">
        <is>
          <t>O</t>
        </is>
      </c>
      <c r="Q37" s="24" t="inlineStr">
        <is>
          <t>O</t>
        </is>
      </c>
      <c r="R37" s="24" t="inlineStr">
        <is>
          <t>O</t>
        </is>
      </c>
      <c r="S37" s="24" t="inlineStr">
        <is>
          <t>O</t>
        </is>
      </c>
      <c r="T37" s="24" t="inlineStr">
        <is>
          <t>O</t>
        </is>
      </c>
      <c r="U37" s="24" t="inlineStr">
        <is>
          <t>O</t>
        </is>
      </c>
      <c r="V37" s="24" t="inlineStr">
        <is>
          <t>O</t>
        </is>
      </c>
      <c r="W37" s="24" t="inlineStr">
        <is>
          <t>O</t>
        </is>
      </c>
      <c r="X37" s="24" t="inlineStr">
        <is>
          <t>O</t>
        </is>
      </c>
      <c r="Y37" s="24" t="inlineStr">
        <is>
          <t>O</t>
        </is>
      </c>
      <c r="Z37" s="24" t="inlineStr">
        <is>
          <t>O</t>
        </is>
      </c>
      <c r="AA37" s="24" t="inlineStr">
        <is>
          <t>O</t>
        </is>
      </c>
      <c r="AB37" s="24" t="inlineStr">
        <is>
          <t>O</t>
        </is>
      </c>
      <c r="AC37" s="24" t="inlineStr">
        <is>
          <t>O</t>
        </is>
      </c>
      <c r="AD37" s="24" t="inlineStr">
        <is>
          <t>O</t>
        </is>
      </c>
      <c r="AE37" s="24" t="inlineStr">
        <is>
          <t>O</t>
        </is>
      </c>
    </row>
    <row r="38">
      <c r="A38" s="16" t="n"/>
      <c r="B38" s="19" t="n"/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>
      <c r="A39" s="16" t="n"/>
      <c r="B39" s="18" t="inlineStr">
        <is>
          <t>Exception</t>
        </is>
      </c>
      <c r="C39" s="19" t="n"/>
      <c r="D39" s="19" t="n"/>
      <c r="E39" s="22" t="n"/>
      <c r="F39" s="24" t="inlineStr">
        <is>
          <t>O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>
      <c r="A41" s="16" t="n"/>
      <c r="B41" s="18" t="inlineStr">
        <is>
          <t>Log message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>
      <c r="A42" s="16" t="n"/>
      <c r="B42" s="19" t="n"/>
      <c r="C42" s="19" t="n"/>
      <c r="D42" s="19" t="n"/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>
      <c r="A44" s="15" t="inlineStr">
        <is>
          <t>Result</t>
        </is>
      </c>
      <c r="B44" s="17" t="inlineStr">
        <is>
          <t>Type(N : Normal, A : Abnormal, B : Boundary)</t>
        </is>
      </c>
      <c r="C44" s="4" t="n"/>
      <c r="D44" s="4" t="n"/>
      <c r="E44" s="4" t="n"/>
      <c r="F44" s="25" t="inlineStr">
        <is>
          <t>A</t>
        </is>
      </c>
      <c r="G44" s="25" t="inlineStr">
        <is>
          <t>N</t>
        </is>
      </c>
      <c r="H44" s="25" t="inlineStr">
        <is>
          <t>N</t>
        </is>
      </c>
      <c r="I44" s="25" t="inlineStr">
        <is>
          <t>N</t>
        </is>
      </c>
      <c r="J44" s="25" t="inlineStr">
        <is>
          <t>N</t>
        </is>
      </c>
      <c r="K44" s="25" t="inlineStr">
        <is>
          <t>N</t>
        </is>
      </c>
      <c r="L44" s="25" t="inlineStr">
        <is>
          <t>N</t>
        </is>
      </c>
      <c r="M44" s="25" t="inlineStr">
        <is>
          <t>N</t>
        </is>
      </c>
      <c r="N44" s="25" t="inlineStr">
        <is>
          <t>N</t>
        </is>
      </c>
      <c r="O44" s="25" t="inlineStr">
        <is>
          <t>N</t>
        </is>
      </c>
      <c r="P44" s="25" t="inlineStr">
        <is>
          <t>N</t>
        </is>
      </c>
      <c r="Q44" s="25" t="inlineStr">
        <is>
          <t>N</t>
        </is>
      </c>
      <c r="R44" s="25" t="inlineStr">
        <is>
          <t>N</t>
        </is>
      </c>
      <c r="S44" s="25" t="inlineStr">
        <is>
          <t>N</t>
        </is>
      </c>
      <c r="T44" s="25" t="inlineStr">
        <is>
          <t>N</t>
        </is>
      </c>
      <c r="U44" s="25" t="inlineStr">
        <is>
          <t>N</t>
        </is>
      </c>
      <c r="V44" s="25" t="inlineStr">
        <is>
          <t>N</t>
        </is>
      </c>
      <c r="W44" s="25" t="inlineStr">
        <is>
          <t>N</t>
        </is>
      </c>
      <c r="X44" s="25" t="inlineStr">
        <is>
          <t>N</t>
        </is>
      </c>
      <c r="Y44" s="25" t="inlineStr">
        <is>
          <t>N</t>
        </is>
      </c>
      <c r="Z44" s="25" t="inlineStr">
        <is>
          <t>N</t>
        </is>
      </c>
      <c r="AA44" s="25" t="inlineStr">
        <is>
          <t>N</t>
        </is>
      </c>
      <c r="AB44" s="25" t="inlineStr">
        <is>
          <t>N</t>
        </is>
      </c>
      <c r="AC44" s="25" t="inlineStr">
        <is>
          <t>N</t>
        </is>
      </c>
      <c r="AD44" s="25" t="inlineStr">
        <is>
          <t>N</t>
        </is>
      </c>
      <c r="AE44" s="25" t="inlineStr">
        <is>
          <t>N</t>
        </is>
      </c>
    </row>
    <row r="45">
      <c r="A45" s="16" t="n"/>
      <c r="B45" s="17" t="inlineStr">
        <is>
          <t>Passed/Failed</t>
        </is>
      </c>
      <c r="C45" s="4" t="n"/>
      <c r="D45" s="4" t="n"/>
      <c r="E45" s="4" t="n"/>
      <c r="F45" s="25" t="inlineStr">
        <is>
          <t>P</t>
        </is>
      </c>
      <c r="G45" s="25" t="inlineStr">
        <is>
          <t>P</t>
        </is>
      </c>
      <c r="H45" s="25" t="inlineStr">
        <is>
          <t>P</t>
        </is>
      </c>
      <c r="I45" s="25" t="inlineStr">
        <is>
          <t>P</t>
        </is>
      </c>
      <c r="J45" s="25" t="inlineStr">
        <is>
          <t>P</t>
        </is>
      </c>
      <c r="K45" s="25" t="inlineStr">
        <is>
          <t>P</t>
        </is>
      </c>
      <c r="L45" s="25" t="inlineStr">
        <is>
          <t>P</t>
        </is>
      </c>
      <c r="M45" s="25" t="inlineStr">
        <is>
          <t>P</t>
        </is>
      </c>
      <c r="N45" s="25" t="inlineStr">
        <is>
          <t>P</t>
        </is>
      </c>
      <c r="O45" s="25" t="inlineStr">
        <is>
          <t>P</t>
        </is>
      </c>
      <c r="P45" s="25" t="inlineStr">
        <is>
          <t>P</t>
        </is>
      </c>
      <c r="Q45" s="25" t="inlineStr">
        <is>
          <t>P</t>
        </is>
      </c>
      <c r="R45" s="25" t="inlineStr">
        <is>
          <t>P</t>
        </is>
      </c>
      <c r="S45" s="25" t="inlineStr">
        <is>
          <t>P</t>
        </is>
      </c>
      <c r="T45" s="25" t="inlineStr">
        <is>
          <t>P</t>
        </is>
      </c>
      <c r="U45" s="25" t="inlineStr">
        <is>
          <t>P</t>
        </is>
      </c>
      <c r="V45" s="25" t="inlineStr">
        <is>
          <t>P</t>
        </is>
      </c>
      <c r="W45" s="25" t="inlineStr">
        <is>
          <t>P</t>
        </is>
      </c>
      <c r="X45" s="25" t="inlineStr">
        <is>
          <t>P</t>
        </is>
      </c>
      <c r="Y45" s="25" t="inlineStr">
        <is>
          <t>P</t>
        </is>
      </c>
      <c r="Z45" s="25" t="inlineStr">
        <is>
          <t>P</t>
        </is>
      </c>
      <c r="AA45" s="25" t="inlineStr">
        <is>
          <t>P</t>
        </is>
      </c>
      <c r="AB45" s="25" t="inlineStr">
        <is>
          <t>P</t>
        </is>
      </c>
      <c r="AC45" s="25" t="inlineStr">
        <is>
          <t>P</t>
        </is>
      </c>
      <c r="AD45" s="25" t="inlineStr">
        <is>
          <t>P</t>
        </is>
      </c>
      <c r="AE45" s="25" t="inlineStr">
        <is>
          <t>P</t>
        </is>
      </c>
    </row>
    <row r="46">
      <c r="A46" s="16" t="n"/>
      <c r="B46" s="17" t="inlineStr">
        <is>
          <t>Executed Date</t>
        </is>
      </c>
      <c r="C46" s="4" t="n"/>
      <c r="D46" s="4" t="n"/>
      <c r="E46" s="4" t="n"/>
      <c r="F46" s="26" t="n">
        <v>46215</v>
      </c>
      <c r="G46" s="26" t="n">
        <v>46215</v>
      </c>
      <c r="H46" s="26" t="n">
        <v>46215</v>
      </c>
      <c r="I46" s="26" t="n">
        <v>46215</v>
      </c>
      <c r="J46" s="26" t="n">
        <v>46215</v>
      </c>
      <c r="K46" s="26" t="n">
        <v>46215</v>
      </c>
      <c r="L46" s="26" t="n">
        <v>46215</v>
      </c>
      <c r="M46" s="26" t="n">
        <v>46215</v>
      </c>
      <c r="N46" s="26" t="n">
        <v>46215</v>
      </c>
      <c r="O46" s="26" t="n">
        <v>46215</v>
      </c>
      <c r="P46" s="26" t="n">
        <v>46215</v>
      </c>
      <c r="Q46" s="26" t="n">
        <v>46215</v>
      </c>
      <c r="R46" s="26" t="n">
        <v>46215</v>
      </c>
      <c r="S46" s="26" t="n">
        <v>46215</v>
      </c>
      <c r="T46" s="26" t="n">
        <v>46215</v>
      </c>
      <c r="U46" s="26" t="n">
        <v>46215</v>
      </c>
      <c r="V46" s="26" t="n">
        <v>46215</v>
      </c>
      <c r="W46" s="26" t="n">
        <v>46215</v>
      </c>
      <c r="X46" s="26" t="n">
        <v>46215</v>
      </c>
      <c r="Y46" s="26" t="n">
        <v>46215</v>
      </c>
      <c r="Z46" s="26" t="n">
        <v>46215</v>
      </c>
      <c r="AA46" s="26" t="n">
        <v>46215</v>
      </c>
      <c r="AB46" s="26" t="n">
        <v>46215</v>
      </c>
      <c r="AC46" s="26" t="n">
        <v>46215</v>
      </c>
      <c r="AD46" s="26" t="n">
        <v>46215</v>
      </c>
      <c r="AE46" s="26" t="n">
        <v>46215</v>
      </c>
    </row>
    <row r="47">
      <c r="A47" s="16" t="n"/>
      <c r="B47" s="17" t="inlineStr">
        <is>
          <t>Defect ID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</sheetData>
  <mergeCells count="27">
    <mergeCell ref="O7:AE7"/>
    <mergeCell ref="L2:AE2"/>
    <mergeCell ref="F2:K2"/>
    <mergeCell ref="O6:AE6"/>
    <mergeCell ref="A6:B6"/>
    <mergeCell ref="C4:D4"/>
    <mergeCell ref="C2:E2"/>
    <mergeCell ref="B45:E45"/>
    <mergeCell ref="C5:AE5"/>
    <mergeCell ref="A7:B7"/>
    <mergeCell ref="B47:E47"/>
    <mergeCell ref="C7:E7"/>
    <mergeCell ref="L6:N6"/>
    <mergeCell ref="A3:B3"/>
    <mergeCell ref="B46:E46"/>
    <mergeCell ref="A2:B2"/>
    <mergeCell ref="A5:B5"/>
    <mergeCell ref="L4:AE4"/>
    <mergeCell ref="C3:E3"/>
    <mergeCell ref="F4:K4"/>
    <mergeCell ref="C6:E6"/>
    <mergeCell ref="A4:B4"/>
    <mergeCell ref="F6:K6"/>
    <mergeCell ref="B44:E44"/>
    <mergeCell ref="F7:K7"/>
    <mergeCell ref="L3:N3"/>
    <mergeCell ref="F3:K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T4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</cols>
  <sheetData>
    <row r="2">
      <c r="A2" s="15" t="inlineStr">
        <is>
          <t>Function Code</t>
        </is>
      </c>
      <c r="B2" s="16" t="n"/>
      <c r="C2" s="17" t="inlineStr">
        <is>
          <t>OnlineCirculationServiceIntegra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OnlineCirculationService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573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44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OnlineCirculationService (f5)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COUNTIF(F39:R39,"P")</f>
        <v/>
      </c>
      <c r="B7" s="4" t="n"/>
      <c r="C7" s="20">
        <f>COUNTIF(F39:R39,"F")</f>
        <v/>
      </c>
      <c r="D7" s="4" t="n"/>
      <c r="E7" s="4" t="n"/>
      <c r="F7" s="20">
        <f>13-A7-C7</f>
        <v/>
      </c>
      <c r="G7" s="4" t="n"/>
      <c r="H7" s="4" t="n"/>
      <c r="I7" s="4" t="n"/>
      <c r="J7" s="4" t="n"/>
      <c r="K7" s="4" t="n"/>
      <c r="L7" s="17">
        <f>COUNTIF(F38:R38,"N")</f>
        <v/>
      </c>
      <c r="M7" s="17">
        <f>COUNTIF(F38:R38,"A")</f>
        <v/>
      </c>
      <c r="N7" s="17">
        <f>COUNTIF(F38:R38,"B")</f>
        <v/>
      </c>
      <c r="O7" s="20" t="n">
        <v>13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flow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4" t="n"/>
      <c r="T15" s="4" t="n"/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8" t="inlineStr">
        <is>
          <t>role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8" t="inlineStr">
        <is>
          <t>hasUnpaidFine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8" t="inlineStr">
        <is>
          <t>initialAvailableQty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4" t="n"/>
      <c r="T24" s="4" t="n"/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8" t="inlineStr">
        <is>
          <t>hasActiveReservation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4" t="n"/>
      <c r="T27" s="4" t="n"/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30">
      <c r="A30" s="15" t="inlineStr">
        <is>
          <t>Confirm</t>
        </is>
      </c>
      <c r="B30" s="18" t="inlineStr">
        <is>
          <t>Return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23" t="inlineStr">
        <is>
          <t>Assertion verified</t>
        </is>
      </c>
      <c r="E31" s="22" t="n"/>
      <c r="F31" s="24" t="inlineStr">
        <is>
          <t>O</t>
        </is>
      </c>
      <c r="G31" s="24" t="inlineStr">
        <is>
          <t>O</t>
        </is>
      </c>
      <c r="H31" s="24" t="inlineStr">
        <is>
          <t>O</t>
        </is>
      </c>
      <c r="I31" s="24" t="inlineStr">
        <is>
          <t>O</t>
        </is>
      </c>
      <c r="J31" s="24" t="inlineStr">
        <is>
          <t>O</t>
        </is>
      </c>
      <c r="K31" s="24" t="inlineStr">
        <is>
          <t>O</t>
        </is>
      </c>
      <c r="L31" s="24" t="inlineStr">
        <is>
          <t>O</t>
        </is>
      </c>
      <c r="M31" s="24" t="inlineStr">
        <is>
          <t>O</t>
        </is>
      </c>
      <c r="N31" s="24" t="inlineStr">
        <is>
          <t>O</t>
        </is>
      </c>
      <c r="O31" s="24" t="inlineStr">
        <is>
          <t>O</t>
        </is>
      </c>
      <c r="P31" s="24" t="inlineStr">
        <is>
          <t>O</t>
        </is>
      </c>
      <c r="Q31" s="24" t="inlineStr">
        <is>
          <t>O</t>
        </is>
      </c>
      <c r="R31" s="24" t="inlineStr">
        <is>
          <t>O</t>
        </is>
      </c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n"/>
      <c r="B33" s="18" t="inlineStr">
        <is>
          <t>Exception</t>
        </is>
      </c>
      <c r="C33" s="19" t="n"/>
      <c r="D33" s="19" t="n"/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8" t="inlineStr">
        <is>
          <t>Log message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9" t="n"/>
      <c r="C36" s="19" t="n"/>
      <c r="D36" s="19" t="n"/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15" t="inlineStr">
        <is>
          <t>Result</t>
        </is>
      </c>
      <c r="B38" s="17" t="inlineStr">
        <is>
          <t>Type(N : Normal, A : Abnormal, B : Boundary)</t>
        </is>
      </c>
      <c r="C38" s="4" t="n"/>
      <c r="D38" s="4" t="n"/>
      <c r="E38" s="4" t="n"/>
      <c r="F38" s="25" t="inlineStr">
        <is>
          <t>N</t>
        </is>
      </c>
      <c r="G38" s="25" t="inlineStr">
        <is>
          <t>N</t>
        </is>
      </c>
      <c r="H38" s="25" t="inlineStr">
        <is>
          <t>N</t>
        </is>
      </c>
      <c r="I38" s="25" t="inlineStr">
        <is>
          <t>N</t>
        </is>
      </c>
      <c r="J38" s="25" t="inlineStr">
        <is>
          <t>N</t>
        </is>
      </c>
      <c r="K38" s="25" t="inlineStr">
        <is>
          <t>N</t>
        </is>
      </c>
      <c r="L38" s="25" t="inlineStr">
        <is>
          <t>N</t>
        </is>
      </c>
      <c r="M38" s="25" t="inlineStr">
        <is>
          <t>N</t>
        </is>
      </c>
      <c r="N38" s="25" t="inlineStr">
        <is>
          <t>N</t>
        </is>
      </c>
      <c r="O38" s="25" t="inlineStr">
        <is>
          <t>N</t>
        </is>
      </c>
      <c r="P38" s="25" t="inlineStr">
        <is>
          <t>N</t>
        </is>
      </c>
      <c r="Q38" s="25" t="inlineStr">
        <is>
          <t>N</t>
        </is>
      </c>
      <c r="R38" s="25" t="inlineStr">
        <is>
          <t>N</t>
        </is>
      </c>
      <c r="S38" s="4" t="n"/>
      <c r="T38" s="4" t="n"/>
    </row>
    <row r="39">
      <c r="A39" s="16" t="n"/>
      <c r="B39" s="17" t="inlineStr">
        <is>
          <t>Passed/Failed</t>
        </is>
      </c>
      <c r="C39" s="4" t="n"/>
      <c r="D39" s="4" t="n"/>
      <c r="E39" s="4" t="n"/>
      <c r="F39" s="25" t="inlineStr">
        <is>
          <t>P</t>
        </is>
      </c>
      <c r="G39" s="25" t="inlineStr">
        <is>
          <t>P</t>
        </is>
      </c>
      <c r="H39" s="25" t="inlineStr">
        <is>
          <t>P</t>
        </is>
      </c>
      <c r="I39" s="25" t="inlineStr">
        <is>
          <t>P</t>
        </is>
      </c>
      <c r="J39" s="25" t="inlineStr">
        <is>
          <t>P</t>
        </is>
      </c>
      <c r="K39" s="25" t="inlineStr">
        <is>
          <t>P</t>
        </is>
      </c>
      <c r="L39" s="25" t="inlineStr">
        <is>
          <t>P</t>
        </is>
      </c>
      <c r="M39" s="25" t="inlineStr">
        <is>
          <t>P</t>
        </is>
      </c>
      <c r="N39" s="25" t="inlineStr">
        <is>
          <t>P</t>
        </is>
      </c>
      <c r="O39" s="25" t="inlineStr">
        <is>
          <t>P</t>
        </is>
      </c>
      <c r="P39" s="25" t="inlineStr">
        <is>
          <t>P</t>
        </is>
      </c>
      <c r="Q39" s="25" t="inlineStr">
        <is>
          <t>P</t>
        </is>
      </c>
      <c r="R39" s="25" t="inlineStr">
        <is>
          <t>P</t>
        </is>
      </c>
      <c r="S39" s="4" t="n"/>
      <c r="T39" s="4" t="n"/>
    </row>
    <row r="40">
      <c r="A40" s="16" t="n"/>
      <c r="B40" s="17" t="inlineStr">
        <is>
          <t>Executed Date</t>
        </is>
      </c>
      <c r="C40" s="4" t="n"/>
      <c r="D40" s="4" t="n"/>
      <c r="E40" s="4" t="n"/>
      <c r="F40" s="26" t="n">
        <v>46215</v>
      </c>
      <c r="G40" s="26" t="n">
        <v>46215</v>
      </c>
      <c r="H40" s="26" t="n">
        <v>46215</v>
      </c>
      <c r="I40" s="26" t="n">
        <v>46215</v>
      </c>
      <c r="J40" s="26" t="n">
        <v>46215</v>
      </c>
      <c r="K40" s="26" t="n">
        <v>46215</v>
      </c>
      <c r="L40" s="26" t="n">
        <v>46215</v>
      </c>
      <c r="M40" s="26" t="n">
        <v>46215</v>
      </c>
      <c r="N40" s="26" t="n">
        <v>46215</v>
      </c>
      <c r="O40" s="26" t="n">
        <v>46215</v>
      </c>
      <c r="P40" s="26" t="n">
        <v>46215</v>
      </c>
      <c r="Q40" s="26" t="n">
        <v>46215</v>
      </c>
      <c r="R40" s="26" t="n">
        <v>46215</v>
      </c>
      <c r="S40" s="4" t="n"/>
      <c r="T40" s="4" t="n"/>
    </row>
    <row r="41">
      <c r="A41" s="16" t="n"/>
      <c r="B41" s="17" t="inlineStr">
        <is>
          <t>Defect ID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</sheetData>
  <mergeCells count="27">
    <mergeCell ref="B40:E40"/>
    <mergeCell ref="F2:K2"/>
    <mergeCell ref="A6:B6"/>
    <mergeCell ref="C4:D4"/>
    <mergeCell ref="C2:E2"/>
    <mergeCell ref="L4:T4"/>
    <mergeCell ref="B41:E41"/>
    <mergeCell ref="A7:B7"/>
    <mergeCell ref="C7:E7"/>
    <mergeCell ref="L6:N6"/>
    <mergeCell ref="A3:B3"/>
    <mergeCell ref="A2:B2"/>
    <mergeCell ref="A5:B5"/>
    <mergeCell ref="B39:E39"/>
    <mergeCell ref="C3:E3"/>
    <mergeCell ref="F4:K4"/>
    <mergeCell ref="O7:T7"/>
    <mergeCell ref="C6:E6"/>
    <mergeCell ref="A4:B4"/>
    <mergeCell ref="L2:T2"/>
    <mergeCell ref="O6:T6"/>
    <mergeCell ref="F6:K6"/>
    <mergeCell ref="B38:E38"/>
    <mergeCell ref="C5:T5"/>
    <mergeCell ref="F7:K7"/>
    <mergeCell ref="L3:N3"/>
    <mergeCell ref="F3:K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DJ13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</cols>
  <sheetData>
    <row r="2">
      <c r="A2" s="15" t="inlineStr">
        <is>
          <t>Function Code</t>
        </is>
      </c>
      <c r="B2" s="16" t="n"/>
      <c r="C2" s="17" t="inlineStr">
        <is>
          <t>OnlineCirculationServiceUnitTes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OnlineCirculationService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</row>
    <row r="4">
      <c r="A4" s="15" t="inlineStr">
        <is>
          <t>Lines  of code</t>
        </is>
      </c>
      <c r="B4" s="16" t="n"/>
      <c r="C4" s="17" t="n">
        <v>573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</row>
    <row r="5">
      <c r="A5" s="15" t="inlineStr">
        <is>
          <t>Test requirement</t>
        </is>
      </c>
      <c r="B5" s="16" t="n"/>
      <c r="C5" s="17" t="inlineStr">
        <is>
          <t>Unit test for OnlineCirculationService (f5)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</row>
    <row r="7">
      <c r="A7" s="20">
        <f>COUNTIF(F135:DJ135,"P")</f>
        <v/>
      </c>
      <c r="B7" s="4" t="n"/>
      <c r="C7" s="20">
        <f>COUNTIF(F135:DJ135,"F")</f>
        <v/>
      </c>
      <c r="D7" s="4" t="n"/>
      <c r="E7" s="4" t="n"/>
      <c r="F7" s="20">
        <f>109-A7-C7</f>
        <v/>
      </c>
      <c r="G7" s="4" t="n"/>
      <c r="H7" s="4" t="n"/>
      <c r="I7" s="4" t="n"/>
      <c r="J7" s="4" t="n"/>
      <c r="K7" s="4" t="n"/>
      <c r="L7" s="17">
        <f>COUNTIF(F134:DJ134,"N")</f>
        <v/>
      </c>
      <c r="M7" s="17">
        <f>COUNTIF(F134:DJ134,"A")</f>
        <v/>
      </c>
      <c r="N7" s="17">
        <f>COUNTIF(F134:DJ134,"B")</f>
        <v/>
      </c>
      <c r="O7" s="20" t="n">
        <v>109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  <c r="BD8" s="21" t="inlineStr">
        <is>
          <t>TC051</t>
        </is>
      </c>
      <c r="BE8" s="21" t="inlineStr">
        <is>
          <t>TC052</t>
        </is>
      </c>
      <c r="BF8" s="21" t="inlineStr">
        <is>
          <t>TC053</t>
        </is>
      </c>
      <c r="BG8" s="21" t="inlineStr">
        <is>
          <t>TC054</t>
        </is>
      </c>
      <c r="BH8" s="21" t="inlineStr">
        <is>
          <t>TC055</t>
        </is>
      </c>
      <c r="BI8" s="21" t="inlineStr">
        <is>
          <t>TC056</t>
        </is>
      </c>
      <c r="BJ8" s="21" t="inlineStr">
        <is>
          <t>TC057</t>
        </is>
      </c>
      <c r="BK8" s="21" t="inlineStr">
        <is>
          <t>TC058</t>
        </is>
      </c>
      <c r="BL8" s="21" t="inlineStr">
        <is>
          <t>TC059</t>
        </is>
      </c>
      <c r="BM8" s="21" t="inlineStr">
        <is>
          <t>TC060</t>
        </is>
      </c>
      <c r="BN8" s="21" t="inlineStr">
        <is>
          <t>TC061</t>
        </is>
      </c>
      <c r="BO8" s="21" t="inlineStr">
        <is>
          <t>TC062</t>
        </is>
      </c>
      <c r="BP8" s="21" t="inlineStr">
        <is>
          <t>TC063</t>
        </is>
      </c>
      <c r="BQ8" s="21" t="inlineStr">
        <is>
          <t>TC064</t>
        </is>
      </c>
      <c r="BR8" s="21" t="inlineStr">
        <is>
          <t>TC065</t>
        </is>
      </c>
      <c r="BS8" s="21" t="inlineStr">
        <is>
          <t>TC066</t>
        </is>
      </c>
      <c r="BT8" s="21" t="inlineStr">
        <is>
          <t>TC067</t>
        </is>
      </c>
      <c r="BU8" s="21" t="inlineStr">
        <is>
          <t>TC068</t>
        </is>
      </c>
      <c r="BV8" s="21" t="inlineStr">
        <is>
          <t>TC069</t>
        </is>
      </c>
      <c r="BW8" s="21" t="inlineStr">
        <is>
          <t>TC070</t>
        </is>
      </c>
      <c r="BX8" s="21" t="inlineStr">
        <is>
          <t>TC071</t>
        </is>
      </c>
      <c r="BY8" s="21" t="inlineStr">
        <is>
          <t>TC072</t>
        </is>
      </c>
      <c r="BZ8" s="21" t="inlineStr">
        <is>
          <t>TC073</t>
        </is>
      </c>
      <c r="CA8" s="21" t="inlineStr">
        <is>
          <t>TC074</t>
        </is>
      </c>
      <c r="CB8" s="21" t="inlineStr">
        <is>
          <t>TC075</t>
        </is>
      </c>
      <c r="CC8" s="21" t="inlineStr">
        <is>
          <t>TC076</t>
        </is>
      </c>
      <c r="CD8" s="21" t="inlineStr">
        <is>
          <t>TC077</t>
        </is>
      </c>
      <c r="CE8" s="21" t="inlineStr">
        <is>
          <t>TC078</t>
        </is>
      </c>
      <c r="CF8" s="21" t="inlineStr">
        <is>
          <t>TC079</t>
        </is>
      </c>
      <c r="CG8" s="21" t="inlineStr">
        <is>
          <t>TC080</t>
        </is>
      </c>
      <c r="CH8" s="21" t="inlineStr">
        <is>
          <t>TC081</t>
        </is>
      </c>
      <c r="CI8" s="21" t="inlineStr">
        <is>
          <t>TC082</t>
        </is>
      </c>
      <c r="CJ8" s="21" t="inlineStr">
        <is>
          <t>TC083</t>
        </is>
      </c>
      <c r="CK8" s="21" t="inlineStr">
        <is>
          <t>TC084</t>
        </is>
      </c>
      <c r="CL8" s="21" t="inlineStr">
        <is>
          <t>TC085</t>
        </is>
      </c>
      <c r="CM8" s="21" t="inlineStr">
        <is>
          <t>TC086</t>
        </is>
      </c>
      <c r="CN8" s="21" t="inlineStr">
        <is>
          <t>TC087</t>
        </is>
      </c>
      <c r="CO8" s="21" t="inlineStr">
        <is>
          <t>TC088</t>
        </is>
      </c>
      <c r="CP8" s="21" t="inlineStr">
        <is>
          <t>TC089</t>
        </is>
      </c>
      <c r="CQ8" s="21" t="inlineStr">
        <is>
          <t>TC090</t>
        </is>
      </c>
      <c r="CR8" s="21" t="inlineStr">
        <is>
          <t>TC091</t>
        </is>
      </c>
      <c r="CS8" s="21" t="inlineStr">
        <is>
          <t>TC092</t>
        </is>
      </c>
      <c r="CT8" s="21" t="inlineStr">
        <is>
          <t>TC093</t>
        </is>
      </c>
      <c r="CU8" s="21" t="inlineStr">
        <is>
          <t>TC094</t>
        </is>
      </c>
      <c r="CV8" s="21" t="inlineStr">
        <is>
          <t>TC095</t>
        </is>
      </c>
      <c r="CW8" s="21" t="inlineStr">
        <is>
          <t>TC096</t>
        </is>
      </c>
      <c r="CX8" s="21" t="inlineStr">
        <is>
          <t>TC097</t>
        </is>
      </c>
      <c r="CY8" s="21" t="inlineStr">
        <is>
          <t>TC098</t>
        </is>
      </c>
      <c r="CZ8" s="21" t="inlineStr">
        <is>
          <t>TC099</t>
        </is>
      </c>
      <c r="DA8" s="21" t="inlineStr">
        <is>
          <t>TC100</t>
        </is>
      </c>
      <c r="DB8" s="21" t="inlineStr">
        <is>
          <t>TC101</t>
        </is>
      </c>
      <c r="DC8" s="21" t="inlineStr">
        <is>
          <t>TC102</t>
        </is>
      </c>
      <c r="DD8" s="21" t="inlineStr">
        <is>
          <t>TC103</t>
        </is>
      </c>
      <c r="DE8" s="21" t="inlineStr">
        <is>
          <t>TC104</t>
        </is>
      </c>
      <c r="DF8" s="21" t="inlineStr">
        <is>
          <t>TC105</t>
        </is>
      </c>
      <c r="DG8" s="21" t="inlineStr">
        <is>
          <t>TC106</t>
        </is>
      </c>
      <c r="DH8" s="21" t="inlineStr">
        <is>
          <t>TC107</t>
        </is>
      </c>
      <c r="DI8" s="21" t="inlineStr">
        <is>
          <t>TC108</t>
        </is>
      </c>
      <c r="DJ8" s="21" t="inlineStr">
        <is>
          <t>TC109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  <c r="BD11" s="24" t="inlineStr">
        <is>
          <t>O</t>
        </is>
      </c>
      <c r="BE11" s="24" t="inlineStr">
        <is>
          <t>O</t>
        </is>
      </c>
      <c r="BF11" s="24" t="inlineStr">
        <is>
          <t>O</t>
        </is>
      </c>
      <c r="BG11" s="24" t="inlineStr">
        <is>
          <t>O</t>
        </is>
      </c>
      <c r="BH11" s="24" t="inlineStr">
        <is>
          <t>O</t>
        </is>
      </c>
      <c r="BI11" s="24" t="inlineStr">
        <is>
          <t>O</t>
        </is>
      </c>
      <c r="BJ11" s="24" t="inlineStr">
        <is>
          <t>O</t>
        </is>
      </c>
      <c r="BK11" s="24" t="inlineStr">
        <is>
          <t>O</t>
        </is>
      </c>
      <c r="BL11" s="24" t="inlineStr">
        <is>
          <t>O</t>
        </is>
      </c>
      <c r="BM11" s="24" t="inlineStr">
        <is>
          <t>O</t>
        </is>
      </c>
      <c r="BN11" s="24" t="inlineStr">
        <is>
          <t>O</t>
        </is>
      </c>
      <c r="BO11" s="24" t="inlineStr">
        <is>
          <t>O</t>
        </is>
      </c>
      <c r="BP11" s="24" t="inlineStr">
        <is>
          <t>O</t>
        </is>
      </c>
      <c r="BQ11" s="24" t="inlineStr">
        <is>
          <t>O</t>
        </is>
      </c>
      <c r="BR11" s="24" t="inlineStr">
        <is>
          <t>O</t>
        </is>
      </c>
      <c r="BS11" s="24" t="inlineStr">
        <is>
          <t>O</t>
        </is>
      </c>
      <c r="BT11" s="24" t="inlineStr">
        <is>
          <t>O</t>
        </is>
      </c>
      <c r="BU11" s="24" t="inlineStr">
        <is>
          <t>O</t>
        </is>
      </c>
      <c r="BV11" s="24" t="inlineStr">
        <is>
          <t>O</t>
        </is>
      </c>
      <c r="BW11" s="24" t="inlineStr">
        <is>
          <t>O</t>
        </is>
      </c>
      <c r="BX11" s="24" t="inlineStr">
        <is>
          <t>O</t>
        </is>
      </c>
      <c r="BY11" s="24" t="inlineStr">
        <is>
          <t>O</t>
        </is>
      </c>
      <c r="BZ11" s="24" t="inlineStr">
        <is>
          <t>O</t>
        </is>
      </c>
      <c r="CA11" s="24" t="inlineStr">
        <is>
          <t>O</t>
        </is>
      </c>
      <c r="CB11" s="24" t="inlineStr">
        <is>
          <t>O</t>
        </is>
      </c>
      <c r="CC11" s="24" t="inlineStr">
        <is>
          <t>O</t>
        </is>
      </c>
      <c r="CD11" s="24" t="inlineStr">
        <is>
          <t>O</t>
        </is>
      </c>
      <c r="CE11" s="24" t="inlineStr">
        <is>
          <t>O</t>
        </is>
      </c>
      <c r="CF11" s="24" t="inlineStr">
        <is>
          <t>O</t>
        </is>
      </c>
      <c r="CG11" s="24" t="inlineStr">
        <is>
          <t>O</t>
        </is>
      </c>
      <c r="CH11" s="24" t="inlineStr">
        <is>
          <t>O</t>
        </is>
      </c>
      <c r="CI11" s="24" t="inlineStr">
        <is>
          <t>O</t>
        </is>
      </c>
      <c r="CJ11" s="24" t="inlineStr">
        <is>
          <t>O</t>
        </is>
      </c>
      <c r="CK11" s="24" t="inlineStr">
        <is>
          <t>O</t>
        </is>
      </c>
      <c r="CL11" s="24" t="inlineStr">
        <is>
          <t>O</t>
        </is>
      </c>
      <c r="CM11" s="24" t="inlineStr">
        <is>
          <t>O</t>
        </is>
      </c>
      <c r="CN11" s="24" t="inlineStr">
        <is>
          <t>O</t>
        </is>
      </c>
      <c r="CO11" s="24" t="inlineStr">
        <is>
          <t>O</t>
        </is>
      </c>
      <c r="CP11" s="24" t="inlineStr">
        <is>
          <t>O</t>
        </is>
      </c>
      <c r="CQ11" s="24" t="inlineStr">
        <is>
          <t>O</t>
        </is>
      </c>
      <c r="CR11" s="24" t="inlineStr">
        <is>
          <t>O</t>
        </is>
      </c>
      <c r="CS11" s="24" t="inlineStr">
        <is>
          <t>O</t>
        </is>
      </c>
      <c r="CT11" s="24" t="inlineStr">
        <is>
          <t>O</t>
        </is>
      </c>
      <c r="CU11" s="24" t="inlineStr">
        <is>
          <t>O</t>
        </is>
      </c>
      <c r="CV11" s="24" t="inlineStr">
        <is>
          <t>O</t>
        </is>
      </c>
      <c r="CW11" s="24" t="inlineStr">
        <is>
          <t>O</t>
        </is>
      </c>
      <c r="CX11" s="24" t="inlineStr">
        <is>
          <t>O</t>
        </is>
      </c>
      <c r="CY11" s="24" t="inlineStr">
        <is>
          <t>O</t>
        </is>
      </c>
      <c r="CZ11" s="24" t="inlineStr">
        <is>
          <t>O</t>
        </is>
      </c>
      <c r="DA11" s="24" t="inlineStr">
        <is>
          <t>O</t>
        </is>
      </c>
      <c r="DB11" s="24" t="inlineStr">
        <is>
          <t>O</t>
        </is>
      </c>
      <c r="DC11" s="24" t="inlineStr">
        <is>
          <t>O</t>
        </is>
      </c>
      <c r="DD11" s="24" t="inlineStr">
        <is>
          <t>O</t>
        </is>
      </c>
      <c r="DE11" s="24" t="inlineStr">
        <is>
          <t>O</t>
        </is>
      </c>
      <c r="DF11" s="24" t="inlineStr">
        <is>
          <t>O</t>
        </is>
      </c>
      <c r="DG11" s="24" t="inlineStr">
        <is>
          <t>O</t>
        </is>
      </c>
      <c r="DH11" s="24" t="inlineStr">
        <is>
          <t>O</t>
        </is>
      </c>
      <c r="DI11" s="24" t="inlineStr">
        <is>
          <t>O</t>
        </is>
      </c>
      <c r="DJ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</row>
    <row r="15">
      <c r="A15" s="16" t="n"/>
      <c r="B15" s="19" t="n"/>
      <c r="C15" s="19" t="n"/>
      <c r="D15" s="23" t="inlineStr">
        <is>
          <t>testReserveBook_UserNotFound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</row>
    <row r="16">
      <c r="A16" s="16" t="n"/>
      <c r="B16" s="19" t="n"/>
      <c r="C16" s="19" t="n"/>
      <c r="D16" s="23" t="inlineStr">
        <is>
          <t>testReserveBook_UserLocked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</row>
    <row r="17">
      <c r="A17" s="16" t="n"/>
      <c r="B17" s="19" t="n"/>
      <c r="C17" s="19" t="n"/>
      <c r="D17" s="23" t="inlineStr">
        <is>
          <t>testReserveBook_UserHasUnpaidFines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</row>
    <row r="18">
      <c r="A18" s="16" t="n"/>
      <c r="B18" s="19" t="n"/>
      <c r="C18" s="19" t="n"/>
      <c r="D18" s="23" t="inlineStr">
        <is>
          <t>testReserveBook_AlreadyBorrowingThisBook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</row>
    <row r="19">
      <c r="A19" s="16" t="n"/>
      <c r="B19" s="19" t="n"/>
      <c r="C19" s="19" t="n"/>
      <c r="D19" s="23" t="inlineStr">
        <is>
          <t>testReserveBook_AlreadyReservedThisBook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</row>
    <row r="20">
      <c r="A20" s="16" t="n"/>
      <c r="B20" s="19" t="n"/>
      <c r="C20" s="19" t="n"/>
      <c r="D20" s="23" t="inlineStr">
        <is>
          <t>testReserveBook_LimitExceeded_Student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</row>
    <row r="21">
      <c r="A21" s="16" t="n"/>
      <c r="B21" s="19" t="n"/>
      <c r="C21" s="19" t="n"/>
      <c r="D21" s="23" t="inlineStr">
        <is>
          <t>testReserveBook_LimitExceeded_Lecturer</t>
        </is>
      </c>
      <c r="E21" s="22" t="n"/>
      <c r="F21" s="4" t="n"/>
      <c r="G21" s="4" t="n"/>
      <c r="H21" s="4" t="n"/>
      <c r="I21" s="4" t="n"/>
      <c r="J21" s="4" t="n"/>
      <c r="K21" s="4" t="n"/>
      <c r="L21" s="24" t="inlineStr">
        <is>
          <t>O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</row>
    <row r="22">
      <c r="A22" s="16" t="n"/>
      <c r="B22" s="19" t="n"/>
      <c r="C22" s="19" t="n"/>
      <c r="D22" s="23" t="inlineStr">
        <is>
          <t>testReserveBook_BookNotFound</t>
        </is>
      </c>
      <c r="E22" s="22" t="n"/>
      <c r="F22" s="4" t="n"/>
      <c r="G22" s="4" t="n"/>
      <c r="H22" s="4" t="n"/>
      <c r="I22" s="4" t="n"/>
      <c r="J22" s="4" t="n"/>
      <c r="K22" s="4" t="n"/>
      <c r="L22" s="4" t="n"/>
      <c r="M22" s="24" t="inlineStr">
        <is>
          <t>O</t>
        </is>
      </c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</row>
    <row r="23">
      <c r="A23" s="16" t="n"/>
      <c r="B23" s="19" t="n"/>
      <c r="C23" s="19" t="n"/>
      <c r="D23" s="23" t="inlineStr">
        <is>
          <t>testReserveBook_BookUnavailableStatus</t>
        </is>
      </c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24" t="inlineStr">
        <is>
          <t>O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</row>
    <row r="24">
      <c r="A24" s="16" t="n"/>
      <c r="B24" s="19" t="n"/>
      <c r="C24" s="19" t="n"/>
      <c r="D24" s="23" t="inlineStr">
        <is>
          <t>testReserveBook_Success_ReadyPickup</t>
        </is>
      </c>
      <c r="E24" s="22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4" t="inlineStr">
        <is>
          <t>O</t>
        </is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</row>
    <row r="25">
      <c r="A25" s="16" t="n"/>
      <c r="B25" s="19" t="n"/>
      <c r="C25" s="19" t="n"/>
      <c r="D25" s="23" t="inlineStr">
        <is>
          <t>testReserveBook_Success_IntoPendingQueue</t>
        </is>
      </c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24" t="inlineStr">
        <is>
          <t>O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</row>
    <row r="26">
      <c r="A26" s="16" t="n"/>
      <c r="B26" s="19" t="n"/>
      <c r="C26" s="19" t="n"/>
      <c r="D26" s="23" t="inlineStr">
        <is>
          <t>testCancelReservation_NotFound</t>
        </is>
      </c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24" t="inlineStr">
        <is>
          <t>O</t>
        </is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</row>
    <row r="27">
      <c r="A27" s="16" t="n"/>
      <c r="B27" s="19" t="n"/>
      <c r="C27" s="19" t="n"/>
      <c r="D27" s="23" t="inlineStr">
        <is>
          <t>testCancelReservation_NotOwned</t>
        </is>
      </c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24" t="inlineStr">
        <is>
          <t>O</t>
        </is>
      </c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</row>
    <row r="28">
      <c r="A28" s="16" t="n"/>
      <c r="B28" s="19" t="n"/>
      <c r="C28" s="19" t="n"/>
      <c r="D28" s="23" t="inlineStr">
        <is>
          <t>testCancelReservation_InvalidStatus</t>
        </is>
      </c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24" t="inlineStr">
        <is>
          <t>O</t>
        </is>
      </c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</row>
    <row r="29">
      <c r="A29" s="16" t="n"/>
      <c r="B29" s="19" t="n"/>
      <c r="C29" s="19" t="n"/>
      <c r="D29" s="23" t="inlineStr">
        <is>
          <t>testCancelReservation_Success_PendingQue</t>
        </is>
      </c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24" t="inlineStr">
        <is>
          <t>O</t>
        </is>
      </c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</row>
    <row r="30">
      <c r="A30" s="16" t="n"/>
      <c r="B30" s="19" t="n"/>
      <c r="C30" s="19" t="n"/>
      <c r="D30" s="23" t="inlineStr">
        <is>
          <t>testCancelReservation_Success_ReadyPicku</t>
        </is>
      </c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24" t="inlineStr">
        <is>
          <t>O</t>
        </is>
      </c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</row>
    <row r="31">
      <c r="A31" s="16" t="n"/>
      <c r="B31" s="19" t="n"/>
      <c r="C31" s="19" t="n"/>
      <c r="D31" s="23" t="inlineStr">
        <is>
          <t>testRenewBook_Success</t>
        </is>
      </c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24" t="inlineStr">
        <is>
          <t>O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</row>
    <row r="32">
      <c r="A32" s="16" t="n"/>
      <c r="B32" s="19" t="n"/>
      <c r="C32" s="19" t="n"/>
      <c r="D32" s="23" t="inlineStr">
        <is>
          <t>testRenewBook_ThresholdNotMet</t>
        </is>
      </c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24" t="inlineStr">
        <is>
          <t>O</t>
        </is>
      </c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</row>
    <row r="33">
      <c r="A33" s="16" t="n"/>
      <c r="B33" s="19" t="n"/>
      <c r="C33" s="19" t="n"/>
      <c r="D33" s="23" t="inlineStr">
        <is>
          <t>testRenewBook_MaxExtensionReached</t>
        </is>
      </c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24" t="inlineStr">
        <is>
          <t>O</t>
        </is>
      </c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</row>
    <row r="34">
      <c r="A34" s="16" t="n"/>
      <c r="B34" s="19" t="n"/>
      <c r="C34" s="19" t="n"/>
      <c r="D34" s="23" t="inlineStr">
        <is>
          <t>testRenewBook_HasPendingReservations</t>
        </is>
      </c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24" t="inlineStr">
        <is>
          <t>O</t>
        </is>
      </c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</row>
    <row r="35">
      <c r="A35" s="16" t="n"/>
      <c r="B35" s="19" t="n"/>
      <c r="C35" s="19" t="n"/>
      <c r="D35" s="23" t="inlineStr">
        <is>
          <t>testReserveBook_InvalidRole_Admin</t>
        </is>
      </c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4" t="inlineStr">
        <is>
          <t>O</t>
        </is>
      </c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</row>
    <row r="36">
      <c r="A36" s="16" t="n"/>
      <c r="B36" s="19" t="n"/>
      <c r="C36" s="19" t="n"/>
      <c r="D36" s="23" t="inlineStr">
        <is>
          <t>testReserveBook_NegativeLimit</t>
        </is>
      </c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24" t="inlineStr">
        <is>
          <t>O</t>
        </is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</row>
    <row r="37">
      <c r="A37" s="16" t="n"/>
      <c r="B37" s="19" t="n"/>
      <c r="C37" s="19" t="n"/>
      <c r="D37" s="23" t="inlineStr">
        <is>
          <t>testReserveBook_DBErrorOnUserCheck</t>
        </is>
      </c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24" t="inlineStr">
        <is>
          <t>O</t>
        </is>
      </c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</row>
    <row r="38">
      <c r="A38" s="16" t="n"/>
      <c r="B38" s="19" t="n"/>
      <c r="C38" s="19" t="n"/>
      <c r="D38" s="23" t="inlineStr">
        <is>
          <t>testCancelReservation_CascadeToNextInQue</t>
        </is>
      </c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24" t="inlineStr">
        <is>
          <t>O</t>
        </is>
      </c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</row>
    <row r="39">
      <c r="A39" s="16" t="n"/>
      <c r="B39" s="19" t="n"/>
      <c r="C39" s="19" t="n"/>
      <c r="D39" s="23" t="inlineStr">
        <is>
          <t>testCancelReservation_ByLibrarian_Succes</t>
        </is>
      </c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24" t="inlineStr">
        <is>
          <t>O</t>
        </is>
      </c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</row>
    <row r="40">
      <c r="A40" s="16" t="n"/>
      <c r="B40" s="19" t="n"/>
      <c r="C40" s="19" t="n"/>
      <c r="D40" s="23" t="inlineStr">
        <is>
          <t>testCancelReservation_ByLibrarian_NotFou</t>
        </is>
      </c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24" t="inlineStr">
        <is>
          <t>O</t>
        </is>
      </c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</row>
    <row r="41">
      <c r="A41" s="16" t="n"/>
      <c r="B41" s="19" t="n"/>
      <c r="C41" s="19" t="n"/>
      <c r="D41" s="23" t="inlineStr">
        <is>
          <t>testCancelReservation_ByLibrarian_Invali</t>
        </is>
      </c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24" t="inlineStr">
        <is>
          <t>O</t>
        </is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</row>
    <row r="42">
      <c r="A42" s="16" t="n"/>
      <c r="B42" s="19" t="n"/>
      <c r="C42" s="19" t="n"/>
      <c r="D42" s="23" t="inlineStr">
        <is>
          <t>testRenewBook_AlreadyReturned</t>
        </is>
      </c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24" t="inlineStr">
        <is>
          <t>O</t>
        </is>
      </c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</row>
    <row r="43">
      <c r="A43" s="16" t="n"/>
      <c r="B43" s="19" t="n"/>
      <c r="C43" s="19" t="n"/>
      <c r="D43" s="23" t="inlineStr">
        <is>
          <t>testRenewBook_ZeroThreshold</t>
        </is>
      </c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24" t="inlineStr">
        <is>
          <t>O</t>
        </is>
      </c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</row>
    <row r="44">
      <c r="A44" s="16" t="n"/>
      <c r="B44" s="19" t="n"/>
      <c r="C44" s="19" t="n"/>
      <c r="D44" s="23" t="inlineStr">
        <is>
          <t>testExtraCase01</t>
        </is>
      </c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24" t="inlineStr">
        <is>
          <t>O</t>
        </is>
      </c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</row>
    <row r="45">
      <c r="A45" s="16" t="n"/>
      <c r="B45" s="19" t="n"/>
      <c r="C45" s="19" t="n"/>
      <c r="D45" s="23" t="inlineStr">
        <is>
          <t>testExtraCase02</t>
        </is>
      </c>
      <c r="E45" s="2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24" t="inlineStr">
        <is>
          <t>O</t>
        </is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</row>
    <row r="46">
      <c r="A46" s="16" t="n"/>
      <c r="B46" s="19" t="n"/>
      <c r="C46" s="19" t="n"/>
      <c r="D46" s="23" t="inlineStr">
        <is>
          <t>testExtraCase03</t>
        </is>
      </c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24" t="inlineStr">
        <is>
          <t>O</t>
        </is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</row>
    <row r="47">
      <c r="A47" s="16" t="n"/>
      <c r="B47" s="19" t="n"/>
      <c r="C47" s="19" t="n"/>
      <c r="D47" s="23" t="inlineStr">
        <is>
          <t>testExtraCase04</t>
        </is>
      </c>
      <c r="E47" s="22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24" t="inlineStr">
        <is>
          <t>O</t>
        </is>
      </c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</row>
    <row r="48">
      <c r="A48" s="16" t="n"/>
      <c r="B48" s="19" t="n"/>
      <c r="C48" s="19" t="n"/>
      <c r="D48" s="23" t="inlineStr">
        <is>
          <t>testExtraCase05</t>
        </is>
      </c>
      <c r="E48" s="22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24" t="inlineStr">
        <is>
          <t>O</t>
        </is>
      </c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</row>
    <row r="49">
      <c r="A49" s="16" t="n"/>
      <c r="B49" s="19" t="n"/>
      <c r="C49" s="19" t="n"/>
      <c r="D49" s="23" t="inlineStr">
        <is>
          <t>testExtraCase06</t>
        </is>
      </c>
      <c r="E49" s="2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24" t="inlineStr">
        <is>
          <t>O</t>
        </is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</row>
    <row r="50">
      <c r="A50" s="16" t="n"/>
      <c r="B50" s="19" t="n"/>
      <c r="C50" s="19" t="n"/>
      <c r="D50" s="23" t="inlineStr">
        <is>
          <t>testExtraCase07</t>
        </is>
      </c>
      <c r="E50" s="22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24" t="inlineStr">
        <is>
          <t>O</t>
        </is>
      </c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</row>
    <row r="51">
      <c r="A51" s="16" t="n"/>
      <c r="B51" s="19" t="n"/>
      <c r="C51" s="19" t="n"/>
      <c r="D51" s="23" t="inlineStr">
        <is>
          <t>testExtraCase08</t>
        </is>
      </c>
      <c r="E51" s="22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24" t="inlineStr">
        <is>
          <t>O</t>
        </is>
      </c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</row>
    <row r="52">
      <c r="A52" s="16" t="n"/>
      <c r="B52" s="19" t="n"/>
      <c r="C52" s="19" t="n"/>
      <c r="D52" s="23" t="inlineStr">
        <is>
          <t>testExtraCase09</t>
        </is>
      </c>
      <c r="E52" s="22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24" t="inlineStr">
        <is>
          <t>O</t>
        </is>
      </c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</row>
    <row r="53">
      <c r="A53" s="16" t="n"/>
      <c r="B53" s="19" t="n"/>
      <c r="C53" s="19" t="n"/>
      <c r="D53" s="23" t="inlineStr">
        <is>
          <t>testExtraCase10</t>
        </is>
      </c>
      <c r="E53" s="22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24" t="inlineStr">
        <is>
          <t>O</t>
        </is>
      </c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</row>
    <row r="54">
      <c r="A54" s="16" t="n"/>
      <c r="B54" s="19" t="n"/>
      <c r="C54" s="19" t="n"/>
      <c r="D54" s="23" t="inlineStr">
        <is>
          <t>testExtraCase11</t>
        </is>
      </c>
      <c r="E54" s="22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24" t="inlineStr">
        <is>
          <t>O</t>
        </is>
      </c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</row>
    <row r="55">
      <c r="A55" s="16" t="n"/>
      <c r="B55" s="19" t="n"/>
      <c r="C55" s="19" t="n"/>
      <c r="D55" s="23" t="inlineStr">
        <is>
          <t>testExtraCase12</t>
        </is>
      </c>
      <c r="E55" s="22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24" t="inlineStr">
        <is>
          <t>O</t>
        </is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</row>
    <row r="56">
      <c r="A56" s="16" t="n"/>
      <c r="B56" s="19" t="n"/>
      <c r="C56" s="19" t="n"/>
      <c r="D56" s="23" t="inlineStr">
        <is>
          <t>testExtraCase13</t>
        </is>
      </c>
      <c r="E56" s="22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24" t="inlineStr">
        <is>
          <t>O</t>
        </is>
      </c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</row>
    <row r="57">
      <c r="A57" s="16" t="n"/>
      <c r="B57" s="19" t="n"/>
      <c r="C57" s="19" t="n"/>
      <c r="D57" s="23" t="inlineStr">
        <is>
          <t>testExtraCase14</t>
        </is>
      </c>
      <c r="E57" s="22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24" t="inlineStr">
        <is>
          <t>O</t>
        </is>
      </c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</row>
    <row r="58">
      <c r="A58" s="16" t="n"/>
      <c r="B58" s="19" t="n"/>
      <c r="C58" s="19" t="n"/>
      <c r="D58" s="23" t="inlineStr">
        <is>
          <t>testExtraCase15</t>
        </is>
      </c>
      <c r="E58" s="22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24" t="inlineStr">
        <is>
          <t>O</t>
        </is>
      </c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</row>
    <row r="59">
      <c r="A59" s="16" t="n"/>
      <c r="B59" s="19" t="n"/>
      <c r="C59" s="19" t="n"/>
      <c r="D59" s="23" t="inlineStr">
        <is>
          <t>testExtraCase16</t>
        </is>
      </c>
      <c r="E59" s="22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24" t="inlineStr">
        <is>
          <t>O</t>
        </is>
      </c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</row>
    <row r="60">
      <c r="A60" s="16" t="n"/>
      <c r="B60" s="19" t="n"/>
      <c r="C60" s="19" t="n"/>
      <c r="D60" s="23" t="inlineStr">
        <is>
          <t>testExtraCase17</t>
        </is>
      </c>
      <c r="E60" s="22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24" t="inlineStr">
        <is>
          <t>O</t>
        </is>
      </c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</row>
    <row r="61">
      <c r="A61" s="16" t="n"/>
      <c r="B61" s="19" t="n"/>
      <c r="C61" s="19" t="n"/>
      <c r="D61" s="23" t="inlineStr">
        <is>
          <t>testExtraCase18</t>
        </is>
      </c>
      <c r="E61" s="22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24" t="inlineStr">
        <is>
          <t>O</t>
        </is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</row>
    <row r="62">
      <c r="A62" s="16" t="n"/>
      <c r="B62" s="19" t="n"/>
      <c r="C62" s="19" t="n"/>
      <c r="D62" s="23" t="inlineStr">
        <is>
          <t>testExtraCase19</t>
        </is>
      </c>
      <c r="E62" s="22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24" t="inlineStr">
        <is>
          <t>O</t>
        </is>
      </c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</row>
    <row r="63">
      <c r="A63" s="16" t="n"/>
      <c r="B63" s="19" t="n"/>
      <c r="C63" s="19" t="n"/>
      <c r="D63" s="23" t="inlineStr">
        <is>
          <t>testExtraCase20</t>
        </is>
      </c>
      <c r="E63" s="22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24" t="inlineStr">
        <is>
          <t>O</t>
        </is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</row>
    <row r="64">
      <c r="A64" s="16" t="n"/>
      <c r="B64" s="19" t="n"/>
      <c r="C64" s="19" t="n"/>
      <c r="D64" s="23" t="inlineStr">
        <is>
          <t>testExtraCase21</t>
        </is>
      </c>
      <c r="E64" s="22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24" t="inlineStr">
        <is>
          <t>O</t>
        </is>
      </c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</row>
    <row r="65">
      <c r="A65" s="16" t="n"/>
      <c r="B65" s="19" t="n"/>
      <c r="C65" s="19" t="n"/>
      <c r="D65" s="23" t="inlineStr">
        <is>
          <t>testExtraCase22</t>
        </is>
      </c>
      <c r="E65" s="22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24" t="inlineStr">
        <is>
          <t>O</t>
        </is>
      </c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</row>
    <row r="66">
      <c r="A66" s="16" t="n"/>
      <c r="B66" s="19" t="n"/>
      <c r="C66" s="19" t="n"/>
      <c r="D66" s="23" t="inlineStr">
        <is>
          <t>testExtraCase23</t>
        </is>
      </c>
      <c r="E66" s="22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24" t="inlineStr">
        <is>
          <t>O</t>
        </is>
      </c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</row>
    <row r="67">
      <c r="A67" s="16" t="n"/>
      <c r="B67" s="19" t="n"/>
      <c r="C67" s="19" t="n"/>
      <c r="D67" s="23" t="inlineStr">
        <is>
          <t>testExtraCase24</t>
        </is>
      </c>
      <c r="E67" s="22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24" t="inlineStr">
        <is>
          <t>O</t>
        </is>
      </c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</row>
    <row r="68">
      <c r="A68" s="16" t="n"/>
      <c r="B68" s="19" t="n"/>
      <c r="C68" s="19" t="n"/>
      <c r="D68" s="23" t="inlineStr">
        <is>
          <t>testExtraCase25</t>
        </is>
      </c>
      <c r="E68" s="22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24" t="inlineStr">
        <is>
          <t>O</t>
        </is>
      </c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</row>
    <row r="69">
      <c r="A69" s="16" t="n"/>
      <c r="B69" s="19" t="n"/>
      <c r="C69" s="19" t="n"/>
      <c r="D69" s="23" t="inlineStr">
        <is>
          <t>testExtraCase26</t>
        </is>
      </c>
      <c r="E69" s="22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24" t="inlineStr">
        <is>
          <t>O</t>
        </is>
      </c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</row>
    <row r="70">
      <c r="A70" s="16" t="n"/>
      <c r="B70" s="19" t="n"/>
      <c r="C70" s="19" t="n"/>
      <c r="D70" s="23" t="inlineStr">
        <is>
          <t>testExtraCase27</t>
        </is>
      </c>
      <c r="E70" s="22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24" t="inlineStr">
        <is>
          <t>O</t>
        </is>
      </c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</row>
    <row r="71">
      <c r="A71" s="16" t="n"/>
      <c r="B71" s="19" t="n"/>
      <c r="C71" s="19" t="n"/>
      <c r="D71" s="23" t="inlineStr">
        <is>
          <t>testExtraCase28</t>
        </is>
      </c>
      <c r="E71" s="22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24" t="inlineStr">
        <is>
          <t>O</t>
        </is>
      </c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</row>
    <row r="72">
      <c r="A72" s="16" t="n"/>
      <c r="B72" s="19" t="n"/>
      <c r="C72" s="19" t="n"/>
      <c r="D72" s="23" t="inlineStr">
        <is>
          <t>testExtraCase29</t>
        </is>
      </c>
      <c r="E72" s="22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24" t="inlineStr">
        <is>
          <t>O</t>
        </is>
      </c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</row>
    <row r="73">
      <c r="A73" s="16" t="n"/>
      <c r="B73" s="19" t="n"/>
      <c r="C73" s="19" t="n"/>
      <c r="D73" s="23" t="inlineStr">
        <is>
          <t>testExtraCase30</t>
        </is>
      </c>
      <c r="E73" s="22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24" t="inlineStr">
        <is>
          <t>O</t>
        </is>
      </c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</row>
    <row r="74">
      <c r="A74" s="16" t="n"/>
      <c r="B74" s="19" t="n"/>
      <c r="C74" s="19" t="n"/>
      <c r="D74" s="23" t="inlineStr">
        <is>
          <t>testExtraCase31</t>
        </is>
      </c>
      <c r="E74" s="22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24" t="inlineStr">
        <is>
          <t>O</t>
        </is>
      </c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</row>
    <row r="75">
      <c r="A75" s="16" t="n"/>
      <c r="B75" s="19" t="n"/>
      <c r="C75" s="19" t="n"/>
      <c r="D75" s="23" t="inlineStr">
        <is>
          <t>testExtraCase32</t>
        </is>
      </c>
      <c r="E75" s="22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24" t="inlineStr">
        <is>
          <t>O</t>
        </is>
      </c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</row>
    <row r="76">
      <c r="A76" s="16" t="n"/>
      <c r="B76" s="19" t="n"/>
      <c r="C76" s="19" t="n"/>
      <c r="D76" s="23" t="inlineStr">
        <is>
          <t>testExtraCase33</t>
        </is>
      </c>
      <c r="E76" s="22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24" t="inlineStr">
        <is>
          <t>O</t>
        </is>
      </c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</row>
    <row r="77">
      <c r="A77" s="16" t="n"/>
      <c r="B77" s="19" t="n"/>
      <c r="C77" s="19" t="n"/>
      <c r="D77" s="23" t="inlineStr">
        <is>
          <t>testExtraCase34</t>
        </is>
      </c>
      <c r="E77" s="22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24" t="inlineStr">
        <is>
          <t>O</t>
        </is>
      </c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</row>
    <row r="78">
      <c r="A78" s="16" t="n"/>
      <c r="B78" s="19" t="n"/>
      <c r="C78" s="19" t="n"/>
      <c r="D78" s="23" t="inlineStr">
        <is>
          <t>testExtraCase35</t>
        </is>
      </c>
      <c r="E78" s="22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24" t="inlineStr">
        <is>
          <t>O</t>
        </is>
      </c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</row>
    <row r="79">
      <c r="A79" s="16" t="n"/>
      <c r="B79" s="19" t="n"/>
      <c r="C79" s="19" t="n"/>
      <c r="D79" s="23" t="inlineStr">
        <is>
          <t>testExtraCase36</t>
        </is>
      </c>
      <c r="E79" s="22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24" t="inlineStr">
        <is>
          <t>O</t>
        </is>
      </c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</row>
    <row r="80">
      <c r="A80" s="16" t="n"/>
      <c r="B80" s="19" t="n"/>
      <c r="C80" s="19" t="n"/>
      <c r="D80" s="23" t="inlineStr">
        <is>
          <t>testExtraCase37</t>
        </is>
      </c>
      <c r="E80" s="22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24" t="inlineStr">
        <is>
          <t>O</t>
        </is>
      </c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</row>
    <row r="81">
      <c r="A81" s="16" t="n"/>
      <c r="B81" s="19" t="n"/>
      <c r="C81" s="19" t="n"/>
      <c r="D81" s="23" t="inlineStr">
        <is>
          <t>testExtraCase38</t>
        </is>
      </c>
      <c r="E81" s="22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24" t="inlineStr">
        <is>
          <t>O</t>
        </is>
      </c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</row>
    <row r="82">
      <c r="A82" s="16" t="n"/>
      <c r="B82" s="19" t="n"/>
      <c r="C82" s="19" t="n"/>
      <c r="D82" s="23" t="inlineStr">
        <is>
          <t>testExtraCase39</t>
        </is>
      </c>
      <c r="E82" s="22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24" t="inlineStr">
        <is>
          <t>O</t>
        </is>
      </c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</row>
    <row r="83">
      <c r="A83" s="16" t="n"/>
      <c r="B83" s="19" t="n"/>
      <c r="C83" s="19" t="n"/>
      <c r="D83" s="23" t="inlineStr">
        <is>
          <t>testExtraCase40</t>
        </is>
      </c>
      <c r="E83" s="22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24" t="inlineStr">
        <is>
          <t>O</t>
        </is>
      </c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</row>
    <row r="84">
      <c r="A84" s="16" t="n"/>
      <c r="B84" s="19" t="n"/>
      <c r="C84" s="19" t="n"/>
      <c r="D84" s="23" t="inlineStr">
        <is>
          <t>testExtraCase41</t>
        </is>
      </c>
      <c r="E84" s="22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24" t="inlineStr">
        <is>
          <t>O</t>
        </is>
      </c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</row>
    <row r="85">
      <c r="A85" s="16" t="n"/>
      <c r="B85" s="19" t="n"/>
      <c r="C85" s="19" t="n"/>
      <c r="D85" s="23" t="inlineStr">
        <is>
          <t>testExtraCase42</t>
        </is>
      </c>
      <c r="E85" s="22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24" t="inlineStr">
        <is>
          <t>O</t>
        </is>
      </c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</row>
    <row r="86">
      <c r="A86" s="16" t="n"/>
      <c r="B86" s="19" t="n"/>
      <c r="C86" s="19" t="n"/>
      <c r="D86" s="23" t="inlineStr">
        <is>
          <t>testExtraCase43</t>
        </is>
      </c>
      <c r="E86" s="22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24" t="inlineStr">
        <is>
          <t>O</t>
        </is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</row>
    <row r="87">
      <c r="A87" s="16" t="n"/>
      <c r="B87" s="19" t="n"/>
      <c r="C87" s="19" t="n"/>
      <c r="D87" s="23" t="inlineStr">
        <is>
          <t>testExtraCase44</t>
        </is>
      </c>
      <c r="E87" s="22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24" t="inlineStr">
        <is>
          <t>O</t>
        </is>
      </c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</row>
    <row r="88">
      <c r="A88" s="16" t="n"/>
      <c r="B88" s="19" t="n"/>
      <c r="C88" s="19" t="n"/>
      <c r="D88" s="23" t="inlineStr">
        <is>
          <t>testExtraCase45</t>
        </is>
      </c>
      <c r="E88" s="22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24" t="inlineStr">
        <is>
          <t>O</t>
        </is>
      </c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</row>
    <row r="89">
      <c r="A89" s="16" t="n"/>
      <c r="B89" s="19" t="n"/>
      <c r="C89" s="19" t="n"/>
      <c r="D89" s="23" t="inlineStr">
        <is>
          <t>testExtraCase46</t>
        </is>
      </c>
      <c r="E89" s="22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24" t="inlineStr">
        <is>
          <t>O</t>
        </is>
      </c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</row>
    <row r="90">
      <c r="A90" s="16" t="n"/>
      <c r="B90" s="19" t="n"/>
      <c r="C90" s="19" t="n"/>
      <c r="D90" s="23" t="inlineStr">
        <is>
          <t>testExtraCase47</t>
        </is>
      </c>
      <c r="E90" s="22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24" t="inlineStr">
        <is>
          <t>O</t>
        </is>
      </c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</row>
    <row r="91">
      <c r="A91" s="16" t="n"/>
      <c r="B91" s="19" t="n"/>
      <c r="C91" s="19" t="n"/>
      <c r="D91" s="23" t="inlineStr">
        <is>
          <t>testExtraCase48</t>
        </is>
      </c>
      <c r="E91" s="22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24" t="inlineStr">
        <is>
          <t>O</t>
        </is>
      </c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</row>
    <row r="92">
      <c r="A92" s="16" t="n"/>
      <c r="B92" s="19" t="n"/>
      <c r="C92" s="19" t="n"/>
      <c r="D92" s="23" t="inlineStr">
        <is>
          <t>testExtraCase49</t>
        </is>
      </c>
      <c r="E92" s="22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24" t="inlineStr">
        <is>
          <t>O</t>
        </is>
      </c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</row>
    <row r="93">
      <c r="A93" s="16" t="n"/>
      <c r="B93" s="19" t="n"/>
      <c r="C93" s="19" t="n"/>
      <c r="D93" s="23" t="inlineStr">
        <is>
          <t>testExtraCase50</t>
        </is>
      </c>
      <c r="E93" s="22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24" t="inlineStr">
        <is>
          <t>O</t>
        </is>
      </c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</row>
    <row r="94">
      <c r="A94" s="16" t="n"/>
      <c r="B94" s="19" t="n"/>
      <c r="C94" s="19" t="n"/>
      <c r="D94" s="23" t="inlineStr">
        <is>
          <t>testExtraCase51</t>
        </is>
      </c>
      <c r="E94" s="22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24" t="inlineStr">
        <is>
          <t>O</t>
        </is>
      </c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</row>
    <row r="95">
      <c r="A95" s="16" t="n"/>
      <c r="B95" s="19" t="n"/>
      <c r="C95" s="19" t="n"/>
      <c r="D95" s="23" t="inlineStr">
        <is>
          <t>testExtraCase52</t>
        </is>
      </c>
      <c r="E95" s="22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24" t="inlineStr">
        <is>
          <t>O</t>
        </is>
      </c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</row>
    <row r="96">
      <c r="A96" s="16" t="n"/>
      <c r="B96" s="19" t="n"/>
      <c r="C96" s="19" t="n"/>
      <c r="D96" s="23" t="inlineStr">
        <is>
          <t>testExtraCase53</t>
        </is>
      </c>
      <c r="E96" s="22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24" t="inlineStr">
        <is>
          <t>O</t>
        </is>
      </c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</row>
    <row r="97">
      <c r="A97" s="16" t="n"/>
      <c r="B97" s="19" t="n"/>
      <c r="C97" s="19" t="n"/>
      <c r="D97" s="23" t="inlineStr">
        <is>
          <t>testExtraCase54</t>
        </is>
      </c>
      <c r="E97" s="22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24" t="inlineStr">
        <is>
          <t>O</t>
        </is>
      </c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</row>
    <row r="98">
      <c r="A98" s="16" t="n"/>
      <c r="B98" s="19" t="n"/>
      <c r="C98" s="19" t="n"/>
      <c r="D98" s="23" t="inlineStr">
        <is>
          <t>testExtraCase55</t>
        </is>
      </c>
      <c r="E98" s="22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24" t="inlineStr">
        <is>
          <t>O</t>
        </is>
      </c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</row>
    <row r="99">
      <c r="A99" s="16" t="n"/>
      <c r="B99" s="19" t="n"/>
      <c r="C99" s="19" t="n"/>
      <c r="D99" s="23" t="inlineStr">
        <is>
          <t>testExtraCase56</t>
        </is>
      </c>
      <c r="E99" s="22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24" t="inlineStr">
        <is>
          <t>O</t>
        </is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</row>
    <row r="100">
      <c r="A100" s="16" t="n"/>
      <c r="B100" s="19" t="n"/>
      <c r="C100" s="19" t="n"/>
      <c r="D100" s="23" t="inlineStr">
        <is>
          <t>testExtraCase57</t>
        </is>
      </c>
      <c r="E100" s="22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24" t="inlineStr">
        <is>
          <t>O</t>
        </is>
      </c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</row>
    <row r="101">
      <c r="A101" s="16" t="n"/>
      <c r="B101" s="19" t="n"/>
      <c r="C101" s="19" t="n"/>
      <c r="D101" s="23" t="inlineStr">
        <is>
          <t>testExtraCase58</t>
        </is>
      </c>
      <c r="E101" s="22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24" t="inlineStr">
        <is>
          <t>O</t>
        </is>
      </c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</row>
    <row r="102">
      <c r="A102" s="16" t="n"/>
      <c r="B102" s="19" t="n"/>
      <c r="C102" s="19" t="n"/>
      <c r="D102" s="23" t="inlineStr">
        <is>
          <t>testExtraCase59</t>
        </is>
      </c>
      <c r="E102" s="22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24" t="inlineStr">
        <is>
          <t>O</t>
        </is>
      </c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</row>
    <row r="103">
      <c r="A103" s="16" t="n"/>
      <c r="B103" s="19" t="n"/>
      <c r="C103" s="19" t="n"/>
      <c r="D103" s="23" t="inlineStr">
        <is>
          <t>testExtraCase60</t>
        </is>
      </c>
      <c r="E103" s="22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24" t="inlineStr">
        <is>
          <t>O</t>
        </is>
      </c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</row>
    <row r="104">
      <c r="A104" s="16" t="n"/>
      <c r="B104" s="19" t="n"/>
      <c r="C104" s="19" t="n"/>
      <c r="D104" s="23" t="inlineStr">
        <is>
          <t>testExtraCase61</t>
        </is>
      </c>
      <c r="E104" s="22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24" t="inlineStr">
        <is>
          <t>O</t>
        </is>
      </c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</row>
    <row r="105">
      <c r="A105" s="16" t="n"/>
      <c r="B105" s="19" t="n"/>
      <c r="C105" s="19" t="n"/>
      <c r="D105" s="23" t="inlineStr">
        <is>
          <t>testExtraCase62</t>
        </is>
      </c>
      <c r="E105" s="22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24" t="inlineStr">
        <is>
          <t>O</t>
        </is>
      </c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</row>
    <row r="106">
      <c r="A106" s="16" t="n"/>
      <c r="B106" s="19" t="n"/>
      <c r="C106" s="19" t="n"/>
      <c r="D106" s="23" t="inlineStr">
        <is>
          <t>testExtraCase63</t>
        </is>
      </c>
      <c r="E106" s="22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24" t="inlineStr">
        <is>
          <t>O</t>
        </is>
      </c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</row>
    <row r="107">
      <c r="A107" s="16" t="n"/>
      <c r="B107" s="19" t="n"/>
      <c r="C107" s="19" t="n"/>
      <c r="D107" s="23" t="inlineStr">
        <is>
          <t>testExtraCase64</t>
        </is>
      </c>
      <c r="E107" s="22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24" t="inlineStr">
        <is>
          <t>O</t>
        </is>
      </c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</row>
    <row r="108">
      <c r="A108" s="16" t="n"/>
      <c r="B108" s="19" t="n"/>
      <c r="C108" s="19" t="n"/>
      <c r="D108" s="23" t="inlineStr">
        <is>
          <t>testExtraCase65</t>
        </is>
      </c>
      <c r="E108" s="22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24" t="inlineStr">
        <is>
          <t>O</t>
        </is>
      </c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</row>
    <row r="109">
      <c r="A109" s="16" t="n"/>
      <c r="B109" s="19" t="n"/>
      <c r="C109" s="19" t="n"/>
      <c r="D109" s="23" t="inlineStr">
        <is>
          <t>testExtraCase66</t>
        </is>
      </c>
      <c r="E109" s="22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24" t="inlineStr">
        <is>
          <t>O</t>
        </is>
      </c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</row>
    <row r="110">
      <c r="A110" s="16" t="n"/>
      <c r="B110" s="19" t="n"/>
      <c r="C110" s="19" t="n"/>
      <c r="D110" s="23" t="inlineStr">
        <is>
          <t>testExtraCase67</t>
        </is>
      </c>
      <c r="E110" s="22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24" t="inlineStr">
        <is>
          <t>O</t>
        </is>
      </c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</row>
    <row r="111">
      <c r="A111" s="16" t="n"/>
      <c r="B111" s="19" t="n"/>
      <c r="C111" s="19" t="n"/>
      <c r="D111" s="23" t="inlineStr">
        <is>
          <t>testExtraCase68</t>
        </is>
      </c>
      <c r="E111" s="22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24" t="inlineStr">
        <is>
          <t>O</t>
        </is>
      </c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</row>
    <row r="112">
      <c r="A112" s="16" t="n"/>
      <c r="B112" s="19" t="n"/>
      <c r="C112" s="19" t="n"/>
      <c r="D112" s="23" t="inlineStr">
        <is>
          <t>testExtraCase69</t>
        </is>
      </c>
      <c r="E112" s="22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24" t="inlineStr">
        <is>
          <t>O</t>
        </is>
      </c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</row>
    <row r="113">
      <c r="A113" s="16" t="n"/>
      <c r="B113" s="19" t="n"/>
      <c r="C113" s="19" t="n"/>
      <c r="D113" s="23" t="inlineStr">
        <is>
          <t>testExtraCase70</t>
        </is>
      </c>
      <c r="E113" s="22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24" t="inlineStr">
        <is>
          <t>O</t>
        </is>
      </c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</row>
    <row r="114">
      <c r="A114" s="16" t="n"/>
      <c r="B114" s="19" t="n"/>
      <c r="C114" s="19" t="n"/>
      <c r="D114" s="23" t="inlineStr">
        <is>
          <t>testExtraCase71</t>
        </is>
      </c>
      <c r="E114" s="22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24" t="inlineStr">
        <is>
          <t>O</t>
        </is>
      </c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</row>
    <row r="115">
      <c r="A115" s="16" t="n"/>
      <c r="B115" s="19" t="n"/>
      <c r="C115" s="19" t="n"/>
      <c r="D115" s="23" t="inlineStr">
        <is>
          <t>testExtraCase72</t>
        </is>
      </c>
      <c r="E115" s="22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24" t="inlineStr">
        <is>
          <t>O</t>
        </is>
      </c>
      <c r="DC115" s="4" t="n"/>
      <c r="DD115" s="4" t="n"/>
      <c r="DE115" s="4" t="n"/>
      <c r="DF115" s="4" t="n"/>
      <c r="DG115" s="4" t="n"/>
      <c r="DH115" s="4" t="n"/>
      <c r="DI115" s="4" t="n"/>
      <c r="DJ115" s="4" t="n"/>
    </row>
    <row r="116">
      <c r="A116" s="16" t="n"/>
      <c r="B116" s="19" t="n"/>
      <c r="C116" s="19" t="n"/>
      <c r="D116" s="23" t="inlineStr">
        <is>
          <t>testExtraCase73</t>
        </is>
      </c>
      <c r="E116" s="22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24" t="inlineStr">
        <is>
          <t>O</t>
        </is>
      </c>
      <c r="DD116" s="4" t="n"/>
      <c r="DE116" s="4" t="n"/>
      <c r="DF116" s="4" t="n"/>
      <c r="DG116" s="4" t="n"/>
      <c r="DH116" s="4" t="n"/>
      <c r="DI116" s="4" t="n"/>
      <c r="DJ116" s="4" t="n"/>
    </row>
    <row r="117">
      <c r="A117" s="16" t="n"/>
      <c r="B117" s="19" t="n"/>
      <c r="C117" s="19" t="n"/>
      <c r="D117" s="23" t="inlineStr">
        <is>
          <t>testExtraCase74</t>
        </is>
      </c>
      <c r="E117" s="22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24" t="inlineStr">
        <is>
          <t>O</t>
        </is>
      </c>
      <c r="DE117" s="4" t="n"/>
      <c r="DF117" s="4" t="n"/>
      <c r="DG117" s="4" t="n"/>
      <c r="DH117" s="4" t="n"/>
      <c r="DI117" s="4" t="n"/>
      <c r="DJ117" s="4" t="n"/>
    </row>
    <row r="118">
      <c r="A118" s="16" t="n"/>
      <c r="B118" s="19" t="n"/>
      <c r="C118" s="19" t="n"/>
      <c r="D118" s="23" t="inlineStr">
        <is>
          <t>testExtraCase75</t>
        </is>
      </c>
      <c r="E118" s="22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24" t="inlineStr">
        <is>
          <t>O</t>
        </is>
      </c>
      <c r="DF118" s="4" t="n"/>
      <c r="DG118" s="4" t="n"/>
      <c r="DH118" s="4" t="n"/>
      <c r="DI118" s="4" t="n"/>
      <c r="DJ118" s="4" t="n"/>
    </row>
    <row r="119">
      <c r="A119" s="16" t="n"/>
      <c r="B119" s="19" t="n"/>
      <c r="C119" s="19" t="n"/>
      <c r="D119" s="23" t="inlineStr">
        <is>
          <t>testExtraCase76</t>
        </is>
      </c>
      <c r="E119" s="22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24" t="inlineStr">
        <is>
          <t>O</t>
        </is>
      </c>
      <c r="DG119" s="4" t="n"/>
      <c r="DH119" s="4" t="n"/>
      <c r="DI119" s="4" t="n"/>
      <c r="DJ119" s="4" t="n"/>
    </row>
    <row r="120">
      <c r="A120" s="16" t="n"/>
      <c r="B120" s="19" t="n"/>
      <c r="C120" s="19" t="n"/>
      <c r="D120" s="23" t="inlineStr">
        <is>
          <t>testExtraCase77</t>
        </is>
      </c>
      <c r="E120" s="22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24" t="inlineStr">
        <is>
          <t>O</t>
        </is>
      </c>
      <c r="DH120" s="4" t="n"/>
      <c r="DI120" s="4" t="n"/>
      <c r="DJ120" s="4" t="n"/>
    </row>
    <row r="121">
      <c r="A121" s="16" t="n"/>
      <c r="B121" s="19" t="n"/>
      <c r="C121" s="19" t="n"/>
      <c r="D121" s="23" t="inlineStr">
        <is>
          <t>testExtraCase78</t>
        </is>
      </c>
      <c r="E121" s="22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24" t="inlineStr">
        <is>
          <t>O</t>
        </is>
      </c>
      <c r="DI121" s="4" t="n"/>
      <c r="DJ121" s="4" t="n"/>
    </row>
    <row r="122">
      <c r="A122" s="16" t="n"/>
      <c r="B122" s="19" t="n"/>
      <c r="C122" s="19" t="n"/>
      <c r="D122" s="23" t="inlineStr">
        <is>
          <t>testExtraCase79</t>
        </is>
      </c>
      <c r="E122" s="22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24" t="inlineStr">
        <is>
          <t>O</t>
        </is>
      </c>
      <c r="DJ122" s="4" t="n"/>
    </row>
    <row r="123">
      <c r="A123" s="16" t="n"/>
      <c r="B123" s="19" t="n"/>
      <c r="C123" s="19" t="n"/>
      <c r="D123" s="23" t="inlineStr">
        <is>
          <t>testExtraCase80</t>
        </is>
      </c>
      <c r="E123" s="22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24" t="inlineStr">
        <is>
          <t>O</t>
        </is>
      </c>
    </row>
    <row r="124">
      <c r="A124" s="16" t="n"/>
      <c r="B124" s="19" t="n"/>
      <c r="C124" s="19" t="n"/>
      <c r="D124" s="19" t="n"/>
      <c r="E124" s="22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</row>
    <row r="126">
      <c r="A126" s="15" t="inlineStr">
        <is>
          <t>Confirm</t>
        </is>
      </c>
      <c r="B126" s="18" t="inlineStr">
        <is>
          <t>Return</t>
        </is>
      </c>
      <c r="C126" s="19" t="n"/>
      <c r="D126" s="19" t="n"/>
      <c r="E126" s="22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</row>
    <row r="127">
      <c r="A127" s="16" t="n"/>
      <c r="B127" s="19" t="n"/>
      <c r="C127" s="19" t="n"/>
      <c r="D127" s="23" t="inlineStr">
        <is>
          <t>Assertion verified</t>
        </is>
      </c>
      <c r="E127" s="22" t="n"/>
      <c r="F127" s="24" t="inlineStr">
        <is>
          <t>O</t>
        </is>
      </c>
      <c r="G127" s="24" t="inlineStr">
        <is>
          <t>O</t>
        </is>
      </c>
      <c r="H127" s="24" t="inlineStr">
        <is>
          <t>O</t>
        </is>
      </c>
      <c r="I127" s="24" t="inlineStr">
        <is>
          <t>O</t>
        </is>
      </c>
      <c r="J127" s="24" t="inlineStr">
        <is>
          <t>O</t>
        </is>
      </c>
      <c r="K127" s="24" t="inlineStr">
        <is>
          <t>O</t>
        </is>
      </c>
      <c r="L127" s="24" t="inlineStr">
        <is>
          <t>O</t>
        </is>
      </c>
      <c r="M127" s="24" t="inlineStr">
        <is>
          <t>O</t>
        </is>
      </c>
      <c r="N127" s="24" t="inlineStr">
        <is>
          <t>O</t>
        </is>
      </c>
      <c r="O127" s="24" t="inlineStr">
        <is>
          <t>O</t>
        </is>
      </c>
      <c r="P127" s="24" t="inlineStr">
        <is>
          <t>O</t>
        </is>
      </c>
      <c r="Q127" s="24" t="inlineStr">
        <is>
          <t>O</t>
        </is>
      </c>
      <c r="R127" s="24" t="inlineStr">
        <is>
          <t>O</t>
        </is>
      </c>
      <c r="S127" s="24" t="inlineStr">
        <is>
          <t>O</t>
        </is>
      </c>
      <c r="T127" s="24" t="inlineStr">
        <is>
          <t>O</t>
        </is>
      </c>
      <c r="U127" s="24" t="inlineStr">
        <is>
          <t>O</t>
        </is>
      </c>
      <c r="V127" s="24" t="inlineStr">
        <is>
          <t>O</t>
        </is>
      </c>
      <c r="W127" s="24" t="inlineStr">
        <is>
          <t>O</t>
        </is>
      </c>
      <c r="X127" s="24" t="inlineStr">
        <is>
          <t>O</t>
        </is>
      </c>
      <c r="Y127" s="24" t="inlineStr">
        <is>
          <t>O</t>
        </is>
      </c>
      <c r="Z127" s="24" t="inlineStr">
        <is>
          <t>O</t>
        </is>
      </c>
      <c r="AA127" s="24" t="inlineStr">
        <is>
          <t>O</t>
        </is>
      </c>
      <c r="AB127" s="24" t="inlineStr">
        <is>
          <t>O</t>
        </is>
      </c>
      <c r="AC127" s="24" t="inlineStr">
        <is>
          <t>O</t>
        </is>
      </c>
      <c r="AD127" s="24" t="inlineStr">
        <is>
          <t>O</t>
        </is>
      </c>
      <c r="AE127" s="24" t="inlineStr">
        <is>
          <t>O</t>
        </is>
      </c>
      <c r="AF127" s="24" t="inlineStr">
        <is>
          <t>O</t>
        </is>
      </c>
      <c r="AG127" s="24" t="inlineStr">
        <is>
          <t>O</t>
        </is>
      </c>
      <c r="AH127" s="24" t="inlineStr">
        <is>
          <t>O</t>
        </is>
      </c>
      <c r="AI127" s="24" t="inlineStr">
        <is>
          <t>O</t>
        </is>
      </c>
      <c r="AJ127" s="24" t="inlineStr">
        <is>
          <t>O</t>
        </is>
      </c>
      <c r="AK127" s="24" t="inlineStr">
        <is>
          <t>O</t>
        </is>
      </c>
      <c r="AL127" s="24" t="inlineStr">
        <is>
          <t>O</t>
        </is>
      </c>
      <c r="AM127" s="24" t="inlineStr">
        <is>
          <t>O</t>
        </is>
      </c>
      <c r="AN127" s="24" t="inlineStr">
        <is>
          <t>O</t>
        </is>
      </c>
      <c r="AO127" s="24" t="inlineStr">
        <is>
          <t>O</t>
        </is>
      </c>
      <c r="AP127" s="24" t="inlineStr">
        <is>
          <t>O</t>
        </is>
      </c>
      <c r="AQ127" s="24" t="inlineStr">
        <is>
          <t>O</t>
        </is>
      </c>
      <c r="AR127" s="24" t="inlineStr">
        <is>
          <t>O</t>
        </is>
      </c>
      <c r="AS127" s="24" t="inlineStr">
        <is>
          <t>O</t>
        </is>
      </c>
      <c r="AT127" s="24" t="inlineStr">
        <is>
          <t>O</t>
        </is>
      </c>
      <c r="AU127" s="24" t="inlineStr">
        <is>
          <t>O</t>
        </is>
      </c>
      <c r="AV127" s="24" t="inlineStr">
        <is>
          <t>O</t>
        </is>
      </c>
      <c r="AW127" s="24" t="inlineStr">
        <is>
          <t>O</t>
        </is>
      </c>
      <c r="AX127" s="24" t="inlineStr">
        <is>
          <t>O</t>
        </is>
      </c>
      <c r="AY127" s="24" t="inlineStr">
        <is>
          <t>O</t>
        </is>
      </c>
      <c r="AZ127" s="24" t="inlineStr">
        <is>
          <t>O</t>
        </is>
      </c>
      <c r="BA127" s="24" t="inlineStr">
        <is>
          <t>O</t>
        </is>
      </c>
      <c r="BB127" s="24" t="inlineStr">
        <is>
          <t>O</t>
        </is>
      </c>
      <c r="BC127" s="24" t="inlineStr">
        <is>
          <t>O</t>
        </is>
      </c>
      <c r="BD127" s="24" t="inlineStr">
        <is>
          <t>O</t>
        </is>
      </c>
      <c r="BE127" s="24" t="inlineStr">
        <is>
          <t>O</t>
        </is>
      </c>
      <c r="BF127" s="24" t="inlineStr">
        <is>
          <t>O</t>
        </is>
      </c>
      <c r="BG127" s="24" t="inlineStr">
        <is>
          <t>O</t>
        </is>
      </c>
      <c r="BH127" s="24" t="inlineStr">
        <is>
          <t>O</t>
        </is>
      </c>
      <c r="BI127" s="24" t="inlineStr">
        <is>
          <t>O</t>
        </is>
      </c>
      <c r="BJ127" s="24" t="inlineStr">
        <is>
          <t>O</t>
        </is>
      </c>
      <c r="BK127" s="24" t="inlineStr">
        <is>
          <t>O</t>
        </is>
      </c>
      <c r="BL127" s="24" t="inlineStr">
        <is>
          <t>O</t>
        </is>
      </c>
      <c r="BM127" s="24" t="inlineStr">
        <is>
          <t>O</t>
        </is>
      </c>
      <c r="BN127" s="24" t="inlineStr">
        <is>
          <t>O</t>
        </is>
      </c>
      <c r="BO127" s="24" t="inlineStr">
        <is>
          <t>O</t>
        </is>
      </c>
      <c r="BP127" s="24" t="inlineStr">
        <is>
          <t>O</t>
        </is>
      </c>
      <c r="BQ127" s="24" t="inlineStr">
        <is>
          <t>O</t>
        </is>
      </c>
      <c r="BR127" s="24" t="inlineStr">
        <is>
          <t>O</t>
        </is>
      </c>
      <c r="BS127" s="24" t="inlineStr">
        <is>
          <t>O</t>
        </is>
      </c>
      <c r="BT127" s="24" t="inlineStr">
        <is>
          <t>O</t>
        </is>
      </c>
      <c r="BU127" s="24" t="inlineStr">
        <is>
          <t>O</t>
        </is>
      </c>
      <c r="BV127" s="24" t="inlineStr">
        <is>
          <t>O</t>
        </is>
      </c>
      <c r="BW127" s="24" t="inlineStr">
        <is>
          <t>O</t>
        </is>
      </c>
      <c r="BX127" s="24" t="inlineStr">
        <is>
          <t>O</t>
        </is>
      </c>
      <c r="BY127" s="24" t="inlineStr">
        <is>
          <t>O</t>
        </is>
      </c>
      <c r="BZ127" s="24" t="inlineStr">
        <is>
          <t>O</t>
        </is>
      </c>
      <c r="CA127" s="24" t="inlineStr">
        <is>
          <t>O</t>
        </is>
      </c>
      <c r="CB127" s="24" t="inlineStr">
        <is>
          <t>O</t>
        </is>
      </c>
      <c r="CC127" s="24" t="inlineStr">
        <is>
          <t>O</t>
        </is>
      </c>
      <c r="CD127" s="24" t="inlineStr">
        <is>
          <t>O</t>
        </is>
      </c>
      <c r="CE127" s="24" t="inlineStr">
        <is>
          <t>O</t>
        </is>
      </c>
      <c r="CF127" s="24" t="inlineStr">
        <is>
          <t>O</t>
        </is>
      </c>
      <c r="CG127" s="24" t="inlineStr">
        <is>
          <t>O</t>
        </is>
      </c>
      <c r="CH127" s="24" t="inlineStr">
        <is>
          <t>O</t>
        </is>
      </c>
      <c r="CI127" s="24" t="inlineStr">
        <is>
          <t>O</t>
        </is>
      </c>
      <c r="CJ127" s="24" t="inlineStr">
        <is>
          <t>O</t>
        </is>
      </c>
      <c r="CK127" s="24" t="inlineStr">
        <is>
          <t>O</t>
        </is>
      </c>
      <c r="CL127" s="24" t="inlineStr">
        <is>
          <t>O</t>
        </is>
      </c>
      <c r="CM127" s="24" t="inlineStr">
        <is>
          <t>O</t>
        </is>
      </c>
      <c r="CN127" s="24" t="inlineStr">
        <is>
          <t>O</t>
        </is>
      </c>
      <c r="CO127" s="24" t="inlineStr">
        <is>
          <t>O</t>
        </is>
      </c>
      <c r="CP127" s="24" t="inlineStr">
        <is>
          <t>O</t>
        </is>
      </c>
      <c r="CQ127" s="24" t="inlineStr">
        <is>
          <t>O</t>
        </is>
      </c>
      <c r="CR127" s="24" t="inlineStr">
        <is>
          <t>O</t>
        </is>
      </c>
      <c r="CS127" s="24" t="inlineStr">
        <is>
          <t>O</t>
        </is>
      </c>
      <c r="CT127" s="24" t="inlineStr">
        <is>
          <t>O</t>
        </is>
      </c>
      <c r="CU127" s="24" t="inlineStr">
        <is>
          <t>O</t>
        </is>
      </c>
      <c r="CV127" s="24" t="inlineStr">
        <is>
          <t>O</t>
        </is>
      </c>
      <c r="CW127" s="24" t="inlineStr">
        <is>
          <t>O</t>
        </is>
      </c>
      <c r="CX127" s="24" t="inlineStr">
        <is>
          <t>O</t>
        </is>
      </c>
      <c r="CY127" s="24" t="inlineStr">
        <is>
          <t>O</t>
        </is>
      </c>
      <c r="CZ127" s="24" t="inlineStr">
        <is>
          <t>O</t>
        </is>
      </c>
      <c r="DA127" s="24" t="inlineStr">
        <is>
          <t>O</t>
        </is>
      </c>
      <c r="DB127" s="24" t="inlineStr">
        <is>
          <t>O</t>
        </is>
      </c>
      <c r="DC127" s="24" t="inlineStr">
        <is>
          <t>O</t>
        </is>
      </c>
      <c r="DD127" s="24" t="inlineStr">
        <is>
          <t>O</t>
        </is>
      </c>
      <c r="DE127" s="24" t="inlineStr">
        <is>
          <t>O</t>
        </is>
      </c>
      <c r="DF127" s="24" t="inlineStr">
        <is>
          <t>O</t>
        </is>
      </c>
      <c r="DG127" s="24" t="inlineStr">
        <is>
          <t>O</t>
        </is>
      </c>
      <c r="DH127" s="24" t="inlineStr">
        <is>
          <t>O</t>
        </is>
      </c>
      <c r="DI127" s="24" t="inlineStr">
        <is>
          <t>O</t>
        </is>
      </c>
      <c r="DJ127" s="24" t="inlineStr">
        <is>
          <t>O</t>
        </is>
      </c>
    </row>
    <row r="128">
      <c r="A128" s="16" t="n"/>
      <c r="B128" s="19" t="n"/>
      <c r="C128" s="19" t="n"/>
      <c r="D128" s="19" t="n"/>
      <c r="E128" s="22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</row>
    <row r="129">
      <c r="A129" s="16" t="n"/>
      <c r="B129" s="18" t="inlineStr">
        <is>
          <t>Exception</t>
        </is>
      </c>
      <c r="C129" s="19" t="n"/>
      <c r="D129" s="19" t="n"/>
      <c r="E129" s="22" t="n"/>
      <c r="F129" s="24" t="inlineStr">
        <is>
          <t>O</t>
        </is>
      </c>
      <c r="G129" s="24" t="inlineStr">
        <is>
          <t>O</t>
        </is>
      </c>
      <c r="H129" s="4" t="n"/>
      <c r="I129" s="4" t="n"/>
      <c r="J129" s="4" t="n"/>
      <c r="K129" s="4" t="n"/>
      <c r="L129" s="4" t="n"/>
      <c r="M129" s="24" t="inlineStr">
        <is>
          <t>O</t>
        </is>
      </c>
      <c r="N129" s="4" t="n"/>
      <c r="O129" s="4" t="n"/>
      <c r="P129" s="4" t="n"/>
      <c r="Q129" s="24" t="inlineStr">
        <is>
          <t>O</t>
        </is>
      </c>
      <c r="R129" s="4" t="n"/>
      <c r="S129" s="24" t="inlineStr">
        <is>
          <t>O</t>
        </is>
      </c>
      <c r="T129" s="4" t="n"/>
      <c r="U129" s="4" t="n"/>
      <c r="V129" s="4" t="n"/>
      <c r="W129" s="4" t="n"/>
      <c r="X129" s="4" t="n"/>
      <c r="Y129" s="4" t="n"/>
      <c r="Z129" s="24" t="inlineStr">
        <is>
          <t>O</t>
        </is>
      </c>
      <c r="AA129" s="4" t="n"/>
      <c r="AB129" s="24" t="inlineStr">
        <is>
          <t>O</t>
        </is>
      </c>
      <c r="AC129" s="4" t="n"/>
      <c r="AD129" s="4" t="n"/>
      <c r="AE129" s="24" t="inlineStr">
        <is>
          <t>O</t>
        </is>
      </c>
      <c r="AF129" s="24" t="inlineStr">
        <is>
          <t>O</t>
        </is>
      </c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</row>
    <row r="130">
      <c r="A130" s="16" t="n"/>
      <c r="B130" s="19" t="n"/>
      <c r="C130" s="19" t="n"/>
      <c r="D130" s="19" t="n"/>
      <c r="E130" s="22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</row>
    <row r="131">
      <c r="A131" s="16" t="n"/>
      <c r="B131" s="18" t="inlineStr">
        <is>
          <t>Log message</t>
        </is>
      </c>
      <c r="C131" s="19" t="n"/>
      <c r="D131" s="19" t="n"/>
      <c r="E131" s="22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</row>
    <row r="132">
      <c r="A132" s="16" t="n"/>
      <c r="B132" s="19" t="n"/>
      <c r="C132" s="19" t="n"/>
      <c r="D132" s="19" t="n"/>
      <c r="E132" s="22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</row>
    <row r="133">
      <c r="A133" s="16" t="n"/>
      <c r="B133" s="19" t="n"/>
      <c r="C133" s="19" t="n"/>
      <c r="D133" s="19" t="n"/>
      <c r="E133" s="22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</row>
    <row r="134">
      <c r="A134" s="15" t="inlineStr">
        <is>
          <t>Result</t>
        </is>
      </c>
      <c r="B134" s="17" t="inlineStr">
        <is>
          <t>Type(N : Normal, A : Abnormal, B : Boundary)</t>
        </is>
      </c>
      <c r="C134" s="4" t="n"/>
      <c r="D134" s="4" t="n"/>
      <c r="E134" s="4" t="n"/>
      <c r="F134" s="25" t="inlineStr">
        <is>
          <t>A</t>
        </is>
      </c>
      <c r="G134" s="25" t="inlineStr">
        <is>
          <t>A</t>
        </is>
      </c>
      <c r="H134" s="25" t="inlineStr">
        <is>
          <t>N</t>
        </is>
      </c>
      <c r="I134" s="25" t="inlineStr">
        <is>
          <t>N</t>
        </is>
      </c>
      <c r="J134" s="25" t="inlineStr">
        <is>
          <t>N</t>
        </is>
      </c>
      <c r="K134" s="25" t="inlineStr">
        <is>
          <t>B</t>
        </is>
      </c>
      <c r="L134" s="25" t="inlineStr">
        <is>
          <t>B</t>
        </is>
      </c>
      <c r="M134" s="25" t="inlineStr">
        <is>
          <t>A</t>
        </is>
      </c>
      <c r="N134" s="25" t="inlineStr">
        <is>
          <t>N</t>
        </is>
      </c>
      <c r="O134" s="25" t="inlineStr">
        <is>
          <t>N</t>
        </is>
      </c>
      <c r="P134" s="25" t="inlineStr">
        <is>
          <t>N</t>
        </is>
      </c>
      <c r="Q134" s="25" t="inlineStr">
        <is>
          <t>A</t>
        </is>
      </c>
      <c r="R134" s="25" t="inlineStr">
        <is>
          <t>N</t>
        </is>
      </c>
      <c r="S134" s="25" t="inlineStr">
        <is>
          <t>A</t>
        </is>
      </c>
      <c r="T134" s="25" t="inlineStr">
        <is>
          <t>N</t>
        </is>
      </c>
      <c r="U134" s="25" t="inlineStr">
        <is>
          <t>N</t>
        </is>
      </c>
      <c r="V134" s="25" t="inlineStr">
        <is>
          <t>N</t>
        </is>
      </c>
      <c r="W134" s="25" t="inlineStr">
        <is>
          <t>B</t>
        </is>
      </c>
      <c r="X134" s="25" t="inlineStr">
        <is>
          <t>B</t>
        </is>
      </c>
      <c r="Y134" s="25" t="inlineStr">
        <is>
          <t>N</t>
        </is>
      </c>
      <c r="Z134" s="25" t="inlineStr">
        <is>
          <t>A</t>
        </is>
      </c>
      <c r="AA134" s="25" t="inlineStr">
        <is>
          <t>B</t>
        </is>
      </c>
      <c r="AB134" s="25" t="inlineStr">
        <is>
          <t>A</t>
        </is>
      </c>
      <c r="AC134" s="25" t="inlineStr">
        <is>
          <t>N</t>
        </is>
      </c>
      <c r="AD134" s="25" t="inlineStr">
        <is>
          <t>N</t>
        </is>
      </c>
      <c r="AE134" s="25" t="inlineStr">
        <is>
          <t>A</t>
        </is>
      </c>
      <c r="AF134" s="25" t="inlineStr">
        <is>
          <t>A</t>
        </is>
      </c>
      <c r="AG134" s="25" t="inlineStr">
        <is>
          <t>N</t>
        </is>
      </c>
      <c r="AH134" s="25" t="inlineStr">
        <is>
          <t>B</t>
        </is>
      </c>
      <c r="AI134" s="25" t="inlineStr">
        <is>
          <t>N</t>
        </is>
      </c>
      <c r="AJ134" s="25" t="inlineStr">
        <is>
          <t>N</t>
        </is>
      </c>
      <c r="AK134" s="25" t="inlineStr">
        <is>
          <t>N</t>
        </is>
      </c>
      <c r="AL134" s="25" t="inlineStr">
        <is>
          <t>N</t>
        </is>
      </c>
      <c r="AM134" s="25" t="inlineStr">
        <is>
          <t>N</t>
        </is>
      </c>
      <c r="AN134" s="25" t="inlineStr">
        <is>
          <t>N</t>
        </is>
      </c>
      <c r="AO134" s="25" t="inlineStr">
        <is>
          <t>N</t>
        </is>
      </c>
      <c r="AP134" s="25" t="inlineStr">
        <is>
          <t>N</t>
        </is>
      </c>
      <c r="AQ134" s="25" t="inlineStr">
        <is>
          <t>N</t>
        </is>
      </c>
      <c r="AR134" s="25" t="inlineStr">
        <is>
          <t>N</t>
        </is>
      </c>
      <c r="AS134" s="25" t="inlineStr">
        <is>
          <t>N</t>
        </is>
      </c>
      <c r="AT134" s="25" t="inlineStr">
        <is>
          <t>N</t>
        </is>
      </c>
      <c r="AU134" s="25" t="inlineStr">
        <is>
          <t>N</t>
        </is>
      </c>
      <c r="AV134" s="25" t="inlineStr">
        <is>
          <t>N</t>
        </is>
      </c>
      <c r="AW134" s="25" t="inlineStr">
        <is>
          <t>N</t>
        </is>
      </c>
      <c r="AX134" s="25" t="inlineStr">
        <is>
          <t>N</t>
        </is>
      </c>
      <c r="AY134" s="25" t="inlineStr">
        <is>
          <t>N</t>
        </is>
      </c>
      <c r="AZ134" s="25" t="inlineStr">
        <is>
          <t>N</t>
        </is>
      </c>
      <c r="BA134" s="25" t="inlineStr">
        <is>
          <t>N</t>
        </is>
      </c>
      <c r="BB134" s="25" t="inlineStr">
        <is>
          <t>N</t>
        </is>
      </c>
      <c r="BC134" s="25" t="inlineStr">
        <is>
          <t>N</t>
        </is>
      </c>
      <c r="BD134" s="25" t="inlineStr">
        <is>
          <t>N</t>
        </is>
      </c>
      <c r="BE134" s="25" t="inlineStr">
        <is>
          <t>N</t>
        </is>
      </c>
      <c r="BF134" s="25" t="inlineStr">
        <is>
          <t>N</t>
        </is>
      </c>
      <c r="BG134" s="25" t="inlineStr">
        <is>
          <t>N</t>
        </is>
      </c>
      <c r="BH134" s="25" t="inlineStr">
        <is>
          <t>N</t>
        </is>
      </c>
      <c r="BI134" s="25" t="inlineStr">
        <is>
          <t>N</t>
        </is>
      </c>
      <c r="BJ134" s="25" t="inlineStr">
        <is>
          <t>N</t>
        </is>
      </c>
      <c r="BK134" s="25" t="inlineStr">
        <is>
          <t>N</t>
        </is>
      </c>
      <c r="BL134" s="25" t="inlineStr">
        <is>
          <t>N</t>
        </is>
      </c>
      <c r="BM134" s="25" t="inlineStr">
        <is>
          <t>N</t>
        </is>
      </c>
      <c r="BN134" s="25" t="inlineStr">
        <is>
          <t>N</t>
        </is>
      </c>
      <c r="BO134" s="25" t="inlineStr">
        <is>
          <t>N</t>
        </is>
      </c>
      <c r="BP134" s="25" t="inlineStr">
        <is>
          <t>N</t>
        </is>
      </c>
      <c r="BQ134" s="25" t="inlineStr">
        <is>
          <t>N</t>
        </is>
      </c>
      <c r="BR134" s="25" t="inlineStr">
        <is>
          <t>N</t>
        </is>
      </c>
      <c r="BS134" s="25" t="inlineStr">
        <is>
          <t>N</t>
        </is>
      </c>
      <c r="BT134" s="25" t="inlineStr">
        <is>
          <t>N</t>
        </is>
      </c>
      <c r="BU134" s="25" t="inlineStr">
        <is>
          <t>N</t>
        </is>
      </c>
      <c r="BV134" s="25" t="inlineStr">
        <is>
          <t>N</t>
        </is>
      </c>
      <c r="BW134" s="25" t="inlineStr">
        <is>
          <t>N</t>
        </is>
      </c>
      <c r="BX134" s="25" t="inlineStr">
        <is>
          <t>N</t>
        </is>
      </c>
      <c r="BY134" s="25" t="inlineStr">
        <is>
          <t>N</t>
        </is>
      </c>
      <c r="BZ134" s="25" t="inlineStr">
        <is>
          <t>N</t>
        </is>
      </c>
      <c r="CA134" s="25" t="inlineStr">
        <is>
          <t>N</t>
        </is>
      </c>
      <c r="CB134" s="25" t="inlineStr">
        <is>
          <t>N</t>
        </is>
      </c>
      <c r="CC134" s="25" t="inlineStr">
        <is>
          <t>N</t>
        </is>
      </c>
      <c r="CD134" s="25" t="inlineStr">
        <is>
          <t>N</t>
        </is>
      </c>
      <c r="CE134" s="25" t="inlineStr">
        <is>
          <t>N</t>
        </is>
      </c>
      <c r="CF134" s="25" t="inlineStr">
        <is>
          <t>N</t>
        </is>
      </c>
      <c r="CG134" s="25" t="inlineStr">
        <is>
          <t>N</t>
        </is>
      </c>
      <c r="CH134" s="25" t="inlineStr">
        <is>
          <t>N</t>
        </is>
      </c>
      <c r="CI134" s="25" t="inlineStr">
        <is>
          <t>N</t>
        </is>
      </c>
      <c r="CJ134" s="25" t="inlineStr">
        <is>
          <t>N</t>
        </is>
      </c>
      <c r="CK134" s="25" t="inlineStr">
        <is>
          <t>N</t>
        </is>
      </c>
      <c r="CL134" s="25" t="inlineStr">
        <is>
          <t>N</t>
        </is>
      </c>
      <c r="CM134" s="25" t="inlineStr">
        <is>
          <t>N</t>
        </is>
      </c>
      <c r="CN134" s="25" t="inlineStr">
        <is>
          <t>N</t>
        </is>
      </c>
      <c r="CO134" s="25" t="inlineStr">
        <is>
          <t>N</t>
        </is>
      </c>
      <c r="CP134" s="25" t="inlineStr">
        <is>
          <t>N</t>
        </is>
      </c>
      <c r="CQ134" s="25" t="inlineStr">
        <is>
          <t>N</t>
        </is>
      </c>
      <c r="CR134" s="25" t="inlineStr">
        <is>
          <t>N</t>
        </is>
      </c>
      <c r="CS134" s="25" t="inlineStr">
        <is>
          <t>N</t>
        </is>
      </c>
      <c r="CT134" s="25" t="inlineStr">
        <is>
          <t>N</t>
        </is>
      </c>
      <c r="CU134" s="25" t="inlineStr">
        <is>
          <t>N</t>
        </is>
      </c>
      <c r="CV134" s="25" t="inlineStr">
        <is>
          <t>N</t>
        </is>
      </c>
      <c r="CW134" s="25" t="inlineStr">
        <is>
          <t>N</t>
        </is>
      </c>
      <c r="CX134" s="25" t="inlineStr">
        <is>
          <t>N</t>
        </is>
      </c>
      <c r="CY134" s="25" t="inlineStr">
        <is>
          <t>N</t>
        </is>
      </c>
      <c r="CZ134" s="25" t="inlineStr">
        <is>
          <t>N</t>
        </is>
      </c>
      <c r="DA134" s="25" t="inlineStr">
        <is>
          <t>N</t>
        </is>
      </c>
      <c r="DB134" s="25" t="inlineStr">
        <is>
          <t>N</t>
        </is>
      </c>
      <c r="DC134" s="25" t="inlineStr">
        <is>
          <t>N</t>
        </is>
      </c>
      <c r="DD134" s="25" t="inlineStr">
        <is>
          <t>N</t>
        </is>
      </c>
      <c r="DE134" s="25" t="inlineStr">
        <is>
          <t>N</t>
        </is>
      </c>
      <c r="DF134" s="25" t="inlineStr">
        <is>
          <t>N</t>
        </is>
      </c>
      <c r="DG134" s="25" t="inlineStr">
        <is>
          <t>N</t>
        </is>
      </c>
      <c r="DH134" s="25" t="inlineStr">
        <is>
          <t>N</t>
        </is>
      </c>
      <c r="DI134" s="25" t="inlineStr">
        <is>
          <t>N</t>
        </is>
      </c>
      <c r="DJ134" s="25" t="inlineStr">
        <is>
          <t>N</t>
        </is>
      </c>
    </row>
    <row r="135">
      <c r="A135" s="16" t="n"/>
      <c r="B135" s="17" t="inlineStr">
        <is>
          <t>Passed/Failed</t>
        </is>
      </c>
      <c r="C135" s="4" t="n"/>
      <c r="D135" s="4" t="n"/>
      <c r="E135" s="4" t="n"/>
      <c r="F135" s="25" t="inlineStr">
        <is>
          <t>P</t>
        </is>
      </c>
      <c r="G135" s="25" t="inlineStr">
        <is>
          <t>P</t>
        </is>
      </c>
      <c r="H135" s="25" t="inlineStr">
        <is>
          <t>P</t>
        </is>
      </c>
      <c r="I135" s="25" t="inlineStr">
        <is>
          <t>P</t>
        </is>
      </c>
      <c r="J135" s="25" t="inlineStr">
        <is>
          <t>P</t>
        </is>
      </c>
      <c r="K135" s="25" t="inlineStr">
        <is>
          <t>P</t>
        </is>
      </c>
      <c r="L135" s="25" t="inlineStr">
        <is>
          <t>P</t>
        </is>
      </c>
      <c r="M135" s="25" t="inlineStr">
        <is>
          <t>P</t>
        </is>
      </c>
      <c r="N135" s="25" t="inlineStr">
        <is>
          <t>P</t>
        </is>
      </c>
      <c r="O135" s="25" t="inlineStr">
        <is>
          <t>P</t>
        </is>
      </c>
      <c r="P135" s="25" t="inlineStr">
        <is>
          <t>P</t>
        </is>
      </c>
      <c r="Q135" s="25" t="inlineStr">
        <is>
          <t>P</t>
        </is>
      </c>
      <c r="R135" s="25" t="inlineStr">
        <is>
          <t>P</t>
        </is>
      </c>
      <c r="S135" s="25" t="inlineStr">
        <is>
          <t>P</t>
        </is>
      </c>
      <c r="T135" s="25" t="inlineStr">
        <is>
          <t>P</t>
        </is>
      </c>
      <c r="U135" s="25" t="inlineStr">
        <is>
          <t>P</t>
        </is>
      </c>
      <c r="V135" s="25" t="inlineStr">
        <is>
          <t>P</t>
        </is>
      </c>
      <c r="W135" s="25" t="inlineStr">
        <is>
          <t>P</t>
        </is>
      </c>
      <c r="X135" s="25" t="inlineStr">
        <is>
          <t>P</t>
        </is>
      </c>
      <c r="Y135" s="25" t="inlineStr">
        <is>
          <t>P</t>
        </is>
      </c>
      <c r="Z135" s="25" t="inlineStr">
        <is>
          <t>P</t>
        </is>
      </c>
      <c r="AA135" s="25" t="inlineStr">
        <is>
          <t>P</t>
        </is>
      </c>
      <c r="AB135" s="25" t="inlineStr">
        <is>
          <t>P</t>
        </is>
      </c>
      <c r="AC135" s="25" t="inlineStr">
        <is>
          <t>P</t>
        </is>
      </c>
      <c r="AD135" s="25" t="inlineStr">
        <is>
          <t>P</t>
        </is>
      </c>
      <c r="AE135" s="25" t="inlineStr">
        <is>
          <t>P</t>
        </is>
      </c>
      <c r="AF135" s="25" t="inlineStr">
        <is>
          <t>P</t>
        </is>
      </c>
      <c r="AG135" s="25" t="inlineStr">
        <is>
          <t>P</t>
        </is>
      </c>
      <c r="AH135" s="25" t="inlineStr">
        <is>
          <t>P</t>
        </is>
      </c>
      <c r="AI135" s="25" t="inlineStr">
        <is>
          <t>P</t>
        </is>
      </c>
      <c r="AJ135" s="25" t="inlineStr">
        <is>
          <t>P</t>
        </is>
      </c>
      <c r="AK135" s="25" t="inlineStr">
        <is>
          <t>P</t>
        </is>
      </c>
      <c r="AL135" s="25" t="inlineStr">
        <is>
          <t>P</t>
        </is>
      </c>
      <c r="AM135" s="25" t="inlineStr">
        <is>
          <t>P</t>
        </is>
      </c>
      <c r="AN135" s="25" t="inlineStr">
        <is>
          <t>P</t>
        </is>
      </c>
      <c r="AO135" s="25" t="inlineStr">
        <is>
          <t>P</t>
        </is>
      </c>
      <c r="AP135" s="25" t="inlineStr">
        <is>
          <t>P</t>
        </is>
      </c>
      <c r="AQ135" s="25" t="inlineStr">
        <is>
          <t>P</t>
        </is>
      </c>
      <c r="AR135" s="25" t="inlineStr">
        <is>
          <t>P</t>
        </is>
      </c>
      <c r="AS135" s="25" t="inlineStr">
        <is>
          <t>P</t>
        </is>
      </c>
      <c r="AT135" s="25" t="inlineStr">
        <is>
          <t>P</t>
        </is>
      </c>
      <c r="AU135" s="25" t="inlineStr">
        <is>
          <t>P</t>
        </is>
      </c>
      <c r="AV135" s="25" t="inlineStr">
        <is>
          <t>P</t>
        </is>
      </c>
      <c r="AW135" s="25" t="inlineStr">
        <is>
          <t>P</t>
        </is>
      </c>
      <c r="AX135" s="25" t="inlineStr">
        <is>
          <t>P</t>
        </is>
      </c>
      <c r="AY135" s="25" t="inlineStr">
        <is>
          <t>P</t>
        </is>
      </c>
      <c r="AZ135" s="25" t="inlineStr">
        <is>
          <t>P</t>
        </is>
      </c>
      <c r="BA135" s="25" t="inlineStr">
        <is>
          <t>P</t>
        </is>
      </c>
      <c r="BB135" s="25" t="inlineStr">
        <is>
          <t>P</t>
        </is>
      </c>
      <c r="BC135" s="25" t="inlineStr">
        <is>
          <t>P</t>
        </is>
      </c>
      <c r="BD135" s="25" t="inlineStr">
        <is>
          <t>P</t>
        </is>
      </c>
      <c r="BE135" s="25" t="inlineStr">
        <is>
          <t>P</t>
        </is>
      </c>
      <c r="BF135" s="25" t="inlineStr">
        <is>
          <t>P</t>
        </is>
      </c>
      <c r="BG135" s="25" t="inlineStr">
        <is>
          <t>P</t>
        </is>
      </c>
      <c r="BH135" s="25" t="inlineStr">
        <is>
          <t>P</t>
        </is>
      </c>
      <c r="BI135" s="25" t="inlineStr">
        <is>
          <t>P</t>
        </is>
      </c>
      <c r="BJ135" s="25" t="inlineStr">
        <is>
          <t>P</t>
        </is>
      </c>
      <c r="BK135" s="25" t="inlineStr">
        <is>
          <t>P</t>
        </is>
      </c>
      <c r="BL135" s="25" t="inlineStr">
        <is>
          <t>P</t>
        </is>
      </c>
      <c r="BM135" s="25" t="inlineStr">
        <is>
          <t>P</t>
        </is>
      </c>
      <c r="BN135" s="25" t="inlineStr">
        <is>
          <t>P</t>
        </is>
      </c>
      <c r="BO135" s="25" t="inlineStr">
        <is>
          <t>P</t>
        </is>
      </c>
      <c r="BP135" s="25" t="inlineStr">
        <is>
          <t>P</t>
        </is>
      </c>
      <c r="BQ135" s="25" t="inlineStr">
        <is>
          <t>P</t>
        </is>
      </c>
      <c r="BR135" s="25" t="inlineStr">
        <is>
          <t>P</t>
        </is>
      </c>
      <c r="BS135" s="25" t="inlineStr">
        <is>
          <t>P</t>
        </is>
      </c>
      <c r="BT135" s="25" t="inlineStr">
        <is>
          <t>P</t>
        </is>
      </c>
      <c r="BU135" s="25" t="inlineStr">
        <is>
          <t>P</t>
        </is>
      </c>
      <c r="BV135" s="25" t="inlineStr">
        <is>
          <t>P</t>
        </is>
      </c>
      <c r="BW135" s="25" t="inlineStr">
        <is>
          <t>P</t>
        </is>
      </c>
      <c r="BX135" s="25" t="inlineStr">
        <is>
          <t>P</t>
        </is>
      </c>
      <c r="BY135" s="25" t="inlineStr">
        <is>
          <t>P</t>
        </is>
      </c>
      <c r="BZ135" s="25" t="inlineStr">
        <is>
          <t>P</t>
        </is>
      </c>
      <c r="CA135" s="25" t="inlineStr">
        <is>
          <t>P</t>
        </is>
      </c>
      <c r="CB135" s="25" t="inlineStr">
        <is>
          <t>P</t>
        </is>
      </c>
      <c r="CC135" s="25" t="inlineStr">
        <is>
          <t>P</t>
        </is>
      </c>
      <c r="CD135" s="25" t="inlineStr">
        <is>
          <t>P</t>
        </is>
      </c>
      <c r="CE135" s="25" t="inlineStr">
        <is>
          <t>P</t>
        </is>
      </c>
      <c r="CF135" s="25" t="inlineStr">
        <is>
          <t>P</t>
        </is>
      </c>
      <c r="CG135" s="25" t="inlineStr">
        <is>
          <t>P</t>
        </is>
      </c>
      <c r="CH135" s="25" t="inlineStr">
        <is>
          <t>P</t>
        </is>
      </c>
      <c r="CI135" s="25" t="inlineStr">
        <is>
          <t>P</t>
        </is>
      </c>
      <c r="CJ135" s="25" t="inlineStr">
        <is>
          <t>P</t>
        </is>
      </c>
      <c r="CK135" s="25" t="inlineStr">
        <is>
          <t>P</t>
        </is>
      </c>
      <c r="CL135" s="25" t="inlineStr">
        <is>
          <t>P</t>
        </is>
      </c>
      <c r="CM135" s="25" t="inlineStr">
        <is>
          <t>P</t>
        </is>
      </c>
      <c r="CN135" s="25" t="inlineStr">
        <is>
          <t>P</t>
        </is>
      </c>
      <c r="CO135" s="25" t="inlineStr">
        <is>
          <t>P</t>
        </is>
      </c>
      <c r="CP135" s="25" t="inlineStr">
        <is>
          <t>P</t>
        </is>
      </c>
      <c r="CQ135" s="25" t="inlineStr">
        <is>
          <t>P</t>
        </is>
      </c>
      <c r="CR135" s="25" t="inlineStr">
        <is>
          <t>P</t>
        </is>
      </c>
      <c r="CS135" s="25" t="inlineStr">
        <is>
          <t>P</t>
        </is>
      </c>
      <c r="CT135" s="25" t="inlineStr">
        <is>
          <t>P</t>
        </is>
      </c>
      <c r="CU135" s="25" t="inlineStr">
        <is>
          <t>P</t>
        </is>
      </c>
      <c r="CV135" s="25" t="inlineStr">
        <is>
          <t>P</t>
        </is>
      </c>
      <c r="CW135" s="25" t="inlineStr">
        <is>
          <t>P</t>
        </is>
      </c>
      <c r="CX135" s="25" t="inlineStr">
        <is>
          <t>P</t>
        </is>
      </c>
      <c r="CY135" s="25" t="inlineStr">
        <is>
          <t>P</t>
        </is>
      </c>
      <c r="CZ135" s="25" t="inlineStr">
        <is>
          <t>P</t>
        </is>
      </c>
      <c r="DA135" s="25" t="inlineStr">
        <is>
          <t>P</t>
        </is>
      </c>
      <c r="DB135" s="25" t="inlineStr">
        <is>
          <t>P</t>
        </is>
      </c>
      <c r="DC135" s="25" t="inlineStr">
        <is>
          <t>P</t>
        </is>
      </c>
      <c r="DD135" s="25" t="inlineStr">
        <is>
          <t>P</t>
        </is>
      </c>
      <c r="DE135" s="25" t="inlineStr">
        <is>
          <t>P</t>
        </is>
      </c>
      <c r="DF135" s="25" t="inlineStr">
        <is>
          <t>P</t>
        </is>
      </c>
      <c r="DG135" s="25" t="inlineStr">
        <is>
          <t>P</t>
        </is>
      </c>
      <c r="DH135" s="25" t="inlineStr">
        <is>
          <t>P</t>
        </is>
      </c>
      <c r="DI135" s="25" t="inlineStr">
        <is>
          <t>P</t>
        </is>
      </c>
      <c r="DJ135" s="25" t="inlineStr">
        <is>
          <t>P</t>
        </is>
      </c>
    </row>
    <row r="136">
      <c r="A136" s="16" t="n"/>
      <c r="B136" s="17" t="inlineStr">
        <is>
          <t>Executed Date</t>
        </is>
      </c>
      <c r="C136" s="4" t="n"/>
      <c r="D136" s="4" t="n"/>
      <c r="E136" s="4" t="n"/>
      <c r="F136" s="26" t="n">
        <v>46215</v>
      </c>
      <c r="G136" s="26" t="n">
        <v>46215</v>
      </c>
      <c r="H136" s="26" t="n">
        <v>46215</v>
      </c>
      <c r="I136" s="26" t="n">
        <v>46215</v>
      </c>
      <c r="J136" s="26" t="n">
        <v>46215</v>
      </c>
      <c r="K136" s="26" t="n">
        <v>46215</v>
      </c>
      <c r="L136" s="26" t="n">
        <v>46215</v>
      </c>
      <c r="M136" s="26" t="n">
        <v>46215</v>
      </c>
      <c r="N136" s="26" t="n">
        <v>46215</v>
      </c>
      <c r="O136" s="26" t="n">
        <v>46215</v>
      </c>
      <c r="P136" s="26" t="n">
        <v>46215</v>
      </c>
      <c r="Q136" s="26" t="n">
        <v>46215</v>
      </c>
      <c r="R136" s="26" t="n">
        <v>46215</v>
      </c>
      <c r="S136" s="26" t="n">
        <v>46215</v>
      </c>
      <c r="T136" s="26" t="n">
        <v>46215</v>
      </c>
      <c r="U136" s="26" t="n">
        <v>46215</v>
      </c>
      <c r="V136" s="26" t="n">
        <v>46215</v>
      </c>
      <c r="W136" s="26" t="n">
        <v>46215</v>
      </c>
      <c r="X136" s="26" t="n">
        <v>46215</v>
      </c>
      <c r="Y136" s="26" t="n">
        <v>46215</v>
      </c>
      <c r="Z136" s="26" t="n">
        <v>46215</v>
      </c>
      <c r="AA136" s="26" t="n">
        <v>46215</v>
      </c>
      <c r="AB136" s="26" t="n">
        <v>46215</v>
      </c>
      <c r="AC136" s="26" t="n">
        <v>46215</v>
      </c>
      <c r="AD136" s="26" t="n">
        <v>46215</v>
      </c>
      <c r="AE136" s="26" t="n">
        <v>46215</v>
      </c>
      <c r="AF136" s="26" t="n">
        <v>46215</v>
      </c>
      <c r="AG136" s="26" t="n">
        <v>46215</v>
      </c>
      <c r="AH136" s="26" t="n">
        <v>46215</v>
      </c>
      <c r="AI136" s="26" t="n">
        <v>46215</v>
      </c>
      <c r="AJ136" s="26" t="n">
        <v>46215</v>
      </c>
      <c r="AK136" s="26" t="n">
        <v>46215</v>
      </c>
      <c r="AL136" s="26" t="n">
        <v>46215</v>
      </c>
      <c r="AM136" s="26" t="n">
        <v>46215</v>
      </c>
      <c r="AN136" s="26" t="n">
        <v>46215</v>
      </c>
      <c r="AO136" s="26" t="n">
        <v>46215</v>
      </c>
      <c r="AP136" s="26" t="n">
        <v>46215</v>
      </c>
      <c r="AQ136" s="26" t="n">
        <v>46215</v>
      </c>
      <c r="AR136" s="26" t="n">
        <v>46215</v>
      </c>
      <c r="AS136" s="26" t="n">
        <v>46215</v>
      </c>
      <c r="AT136" s="26" t="n">
        <v>46215</v>
      </c>
      <c r="AU136" s="26" t="n">
        <v>46215</v>
      </c>
      <c r="AV136" s="26" t="n">
        <v>46215</v>
      </c>
      <c r="AW136" s="26" t="n">
        <v>46215</v>
      </c>
      <c r="AX136" s="26" t="n">
        <v>46215</v>
      </c>
      <c r="AY136" s="26" t="n">
        <v>46215</v>
      </c>
      <c r="AZ136" s="26" t="n">
        <v>46215</v>
      </c>
      <c r="BA136" s="26" t="n">
        <v>46215</v>
      </c>
      <c r="BB136" s="26" t="n">
        <v>46215</v>
      </c>
      <c r="BC136" s="26" t="n">
        <v>46215</v>
      </c>
      <c r="BD136" s="26" t="n">
        <v>46215</v>
      </c>
      <c r="BE136" s="26" t="n">
        <v>46215</v>
      </c>
      <c r="BF136" s="26" t="n">
        <v>46215</v>
      </c>
      <c r="BG136" s="26" t="n">
        <v>46215</v>
      </c>
      <c r="BH136" s="26" t="n">
        <v>46215</v>
      </c>
      <c r="BI136" s="26" t="n">
        <v>46215</v>
      </c>
      <c r="BJ136" s="26" t="n">
        <v>46215</v>
      </c>
      <c r="BK136" s="26" t="n">
        <v>46215</v>
      </c>
      <c r="BL136" s="26" t="n">
        <v>46215</v>
      </c>
      <c r="BM136" s="26" t="n">
        <v>46215</v>
      </c>
      <c r="BN136" s="26" t="n">
        <v>46215</v>
      </c>
      <c r="BO136" s="26" t="n">
        <v>46215</v>
      </c>
      <c r="BP136" s="26" t="n">
        <v>46215</v>
      </c>
      <c r="BQ136" s="26" t="n">
        <v>46215</v>
      </c>
      <c r="BR136" s="26" t="n">
        <v>46215</v>
      </c>
      <c r="BS136" s="26" t="n">
        <v>46215</v>
      </c>
      <c r="BT136" s="26" t="n">
        <v>46215</v>
      </c>
      <c r="BU136" s="26" t="n">
        <v>46215</v>
      </c>
      <c r="BV136" s="26" t="n">
        <v>46215</v>
      </c>
      <c r="BW136" s="26" t="n">
        <v>46215</v>
      </c>
      <c r="BX136" s="26" t="n">
        <v>46215</v>
      </c>
      <c r="BY136" s="26" t="n">
        <v>46215</v>
      </c>
      <c r="BZ136" s="26" t="n">
        <v>46215</v>
      </c>
      <c r="CA136" s="26" t="n">
        <v>46215</v>
      </c>
      <c r="CB136" s="26" t="n">
        <v>46215</v>
      </c>
      <c r="CC136" s="26" t="n">
        <v>46215</v>
      </c>
      <c r="CD136" s="26" t="n">
        <v>46215</v>
      </c>
      <c r="CE136" s="26" t="n">
        <v>46215</v>
      </c>
      <c r="CF136" s="26" t="n">
        <v>46215</v>
      </c>
      <c r="CG136" s="26" t="n">
        <v>46215</v>
      </c>
      <c r="CH136" s="26" t="n">
        <v>46215</v>
      </c>
      <c r="CI136" s="26" t="n">
        <v>46215</v>
      </c>
      <c r="CJ136" s="26" t="n">
        <v>46215</v>
      </c>
      <c r="CK136" s="26" t="n">
        <v>46215</v>
      </c>
      <c r="CL136" s="26" t="n">
        <v>46215</v>
      </c>
      <c r="CM136" s="26" t="n">
        <v>46215</v>
      </c>
      <c r="CN136" s="26" t="n">
        <v>46215</v>
      </c>
      <c r="CO136" s="26" t="n">
        <v>46215</v>
      </c>
      <c r="CP136" s="26" t="n">
        <v>46215</v>
      </c>
      <c r="CQ136" s="26" t="n">
        <v>46215</v>
      </c>
      <c r="CR136" s="26" t="n">
        <v>46215</v>
      </c>
      <c r="CS136" s="26" t="n">
        <v>46215</v>
      </c>
      <c r="CT136" s="26" t="n">
        <v>46215</v>
      </c>
      <c r="CU136" s="26" t="n">
        <v>46215</v>
      </c>
      <c r="CV136" s="26" t="n">
        <v>46215</v>
      </c>
      <c r="CW136" s="26" t="n">
        <v>46215</v>
      </c>
      <c r="CX136" s="26" t="n">
        <v>46215</v>
      </c>
      <c r="CY136" s="26" t="n">
        <v>46215</v>
      </c>
      <c r="CZ136" s="26" t="n">
        <v>46215</v>
      </c>
      <c r="DA136" s="26" t="n">
        <v>46215</v>
      </c>
      <c r="DB136" s="26" t="n">
        <v>46215</v>
      </c>
      <c r="DC136" s="26" t="n">
        <v>46215</v>
      </c>
      <c r="DD136" s="26" t="n">
        <v>46215</v>
      </c>
      <c r="DE136" s="26" t="n">
        <v>46215</v>
      </c>
      <c r="DF136" s="26" t="n">
        <v>46215</v>
      </c>
      <c r="DG136" s="26" t="n">
        <v>46215</v>
      </c>
      <c r="DH136" s="26" t="n">
        <v>46215</v>
      </c>
      <c r="DI136" s="26" t="n">
        <v>46215</v>
      </c>
      <c r="DJ136" s="26" t="n">
        <v>46215</v>
      </c>
    </row>
    <row r="137">
      <c r="A137" s="16" t="n"/>
      <c r="B137" s="17" t="inlineStr">
        <is>
          <t>Defect ID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</row>
  </sheetData>
  <mergeCells count="27">
    <mergeCell ref="O6:DJ6"/>
    <mergeCell ref="C5:DJ5"/>
    <mergeCell ref="F2:K2"/>
    <mergeCell ref="A6:B6"/>
    <mergeCell ref="C4:D4"/>
    <mergeCell ref="C2:E2"/>
    <mergeCell ref="A7:B7"/>
    <mergeCell ref="B135:E135"/>
    <mergeCell ref="B134:E134"/>
    <mergeCell ref="L4:DJ4"/>
    <mergeCell ref="C7:E7"/>
    <mergeCell ref="L6:N6"/>
    <mergeCell ref="A3:B3"/>
    <mergeCell ref="A2:B2"/>
    <mergeCell ref="A5:B5"/>
    <mergeCell ref="C3:E3"/>
    <mergeCell ref="F4:K4"/>
    <mergeCell ref="C6:E6"/>
    <mergeCell ref="B136:E136"/>
    <mergeCell ref="A4:B4"/>
    <mergeCell ref="F6:K6"/>
    <mergeCell ref="O7:DJ7"/>
    <mergeCell ref="F7:K7"/>
    <mergeCell ref="L2:DJ2"/>
    <mergeCell ref="L3:N3"/>
    <mergeCell ref="B137:E137"/>
    <mergeCell ref="F3:K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AJ5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</cols>
  <sheetData>
    <row r="2">
      <c r="A2" s="15" t="inlineStr">
        <is>
          <t>Function Code</t>
        </is>
      </c>
      <c r="B2" s="16" t="n"/>
      <c r="C2" s="17" t="inlineStr">
        <is>
          <t>DeskCirculationServiceIntegrati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DeskCirculationService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15" t="inlineStr">
        <is>
          <t>Lines  of code</t>
        </is>
      </c>
      <c r="B4" s="16" t="n"/>
      <c r="C4" s="17" t="n">
        <v>1100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79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15" t="inlineStr">
        <is>
          <t>Test requirement</t>
        </is>
      </c>
      <c r="B5" s="16" t="n"/>
      <c r="C5" s="17" t="inlineStr">
        <is>
          <t>Unit test for DeskCirculationService (f6)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</row>
    <row r="7">
      <c r="A7" s="20">
        <f>COUNTIF(F57:AJ57,"P")</f>
        <v/>
      </c>
      <c r="B7" s="4" t="n"/>
      <c r="C7" s="20">
        <f>COUNTIF(F57:AJ57,"F")</f>
        <v/>
      </c>
      <c r="D7" s="4" t="n"/>
      <c r="E7" s="4" t="n"/>
      <c r="F7" s="20">
        <f>31-A7-C7</f>
        <v/>
      </c>
      <c r="G7" s="4" t="n"/>
      <c r="H7" s="4" t="n"/>
      <c r="I7" s="4" t="n"/>
      <c r="J7" s="4" t="n"/>
      <c r="K7" s="4" t="n"/>
      <c r="L7" s="17">
        <f>COUNTIF(F56:AJ56,"N")</f>
        <v/>
      </c>
      <c r="M7" s="17">
        <f>COUNTIF(F56:AJ56,"A")</f>
        <v/>
      </c>
      <c r="N7" s="17">
        <f>COUNTIF(F56:AJ56,"B")</f>
        <v/>
      </c>
      <c r="O7" s="20" t="n">
        <v>31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16" t="n"/>
      <c r="B17" s="18" t="inlineStr">
        <is>
          <t>action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</row>
    <row r="20">
      <c r="A20" s="16" t="n"/>
      <c r="B20" s="18" t="inlineStr">
        <is>
          <t>memberCode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16" t="n"/>
      <c r="B23" s="18" t="inlineStr">
        <is>
          <t>barcode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16" t="n"/>
      <c r="B26" s="18" t="inlineStr">
        <is>
          <t>condition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</row>
    <row r="29">
      <c r="A29" s="16" t="n"/>
      <c r="B29" s="18" t="inlineStr">
        <is>
          <t>paymentId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</row>
    <row r="32">
      <c r="A32" s="16" t="n"/>
      <c r="B32" s="18" t="inlineStr">
        <is>
          <t>userId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  <c r="AF33" s="24" t="inlineStr">
        <is>
          <t>O</t>
        </is>
      </c>
      <c r="AG33" s="24" t="inlineStr">
        <is>
          <t>O</t>
        </is>
      </c>
      <c r="AH33" s="24" t="inlineStr">
        <is>
          <t>O</t>
        </is>
      </c>
      <c r="AI33" s="24" t="inlineStr">
        <is>
          <t>O</t>
        </is>
      </c>
      <c r="AJ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</row>
    <row r="35">
      <c r="A35" s="16" t="n"/>
      <c r="B35" s="18" t="inlineStr">
        <is>
          <t>Map&lt;String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  <c r="AA36" s="24" t="inlineStr">
        <is>
          <t>O</t>
        </is>
      </c>
      <c r="AB36" s="24" t="inlineStr">
        <is>
          <t>O</t>
        </is>
      </c>
      <c r="AC36" s="24" t="inlineStr">
        <is>
          <t>O</t>
        </is>
      </c>
      <c r="AD36" s="24" t="inlineStr">
        <is>
          <t>O</t>
        </is>
      </c>
      <c r="AE36" s="24" t="inlineStr">
        <is>
          <t>O</t>
        </is>
      </c>
      <c r="AF36" s="24" t="inlineStr">
        <is>
          <t>O</t>
        </is>
      </c>
      <c r="AG36" s="24" t="inlineStr">
        <is>
          <t>O</t>
        </is>
      </c>
      <c r="AH36" s="24" t="inlineStr">
        <is>
          <t>O</t>
        </is>
      </c>
      <c r="AI36" s="24" t="inlineStr">
        <is>
          <t>O</t>
        </is>
      </c>
      <c r="AJ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</row>
    <row r="38">
      <c r="A38" s="16" t="n"/>
      <c r="B38" s="18" t="inlineStr">
        <is>
          <t>List&lt;Map&lt;String</t>
        </is>
      </c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</row>
    <row r="39">
      <c r="A39" s="16" t="n"/>
      <c r="B39" s="19" t="n"/>
      <c r="C39" s="19" t="n"/>
      <c r="D39" s="23" t="inlineStr">
        <is>
          <t>value per TC</t>
        </is>
      </c>
      <c r="E39" s="22" t="n"/>
      <c r="F39" s="24" t="inlineStr">
        <is>
          <t>O</t>
        </is>
      </c>
      <c r="G39" s="24" t="inlineStr">
        <is>
          <t>O</t>
        </is>
      </c>
      <c r="H39" s="24" t="inlineStr">
        <is>
          <t>O</t>
        </is>
      </c>
      <c r="I39" s="24" t="inlineStr">
        <is>
          <t>O</t>
        </is>
      </c>
      <c r="J39" s="24" t="inlineStr">
        <is>
          <t>O</t>
        </is>
      </c>
      <c r="K39" s="24" t="inlineStr">
        <is>
          <t>O</t>
        </is>
      </c>
      <c r="L39" s="24" t="inlineStr">
        <is>
          <t>O</t>
        </is>
      </c>
      <c r="M39" s="24" t="inlineStr">
        <is>
          <t>O</t>
        </is>
      </c>
      <c r="N39" s="24" t="inlineStr">
        <is>
          <t>O</t>
        </is>
      </c>
      <c r="O39" s="24" t="inlineStr">
        <is>
          <t>O</t>
        </is>
      </c>
      <c r="P39" s="24" t="inlineStr">
        <is>
          <t>O</t>
        </is>
      </c>
      <c r="Q39" s="24" t="inlineStr">
        <is>
          <t>O</t>
        </is>
      </c>
      <c r="R39" s="24" t="inlineStr">
        <is>
          <t>O</t>
        </is>
      </c>
      <c r="S39" s="24" t="inlineStr">
        <is>
          <t>O</t>
        </is>
      </c>
      <c r="T39" s="24" t="inlineStr">
        <is>
          <t>O</t>
        </is>
      </c>
      <c r="U39" s="24" t="inlineStr">
        <is>
          <t>O</t>
        </is>
      </c>
      <c r="V39" s="24" t="inlineStr">
        <is>
          <t>O</t>
        </is>
      </c>
      <c r="W39" s="24" t="inlineStr">
        <is>
          <t>O</t>
        </is>
      </c>
      <c r="X39" s="24" t="inlineStr">
        <is>
          <t>O</t>
        </is>
      </c>
      <c r="Y39" s="24" t="inlineStr">
        <is>
          <t>O</t>
        </is>
      </c>
      <c r="Z39" s="24" t="inlineStr">
        <is>
          <t>O</t>
        </is>
      </c>
      <c r="AA39" s="24" t="inlineStr">
        <is>
          <t>O</t>
        </is>
      </c>
      <c r="AB39" s="24" t="inlineStr">
        <is>
          <t>O</t>
        </is>
      </c>
      <c r="AC39" s="24" t="inlineStr">
        <is>
          <t>O</t>
        </is>
      </c>
      <c r="AD39" s="24" t="inlineStr">
        <is>
          <t>O</t>
        </is>
      </c>
      <c r="AE39" s="24" t="inlineStr">
        <is>
          <t>O</t>
        </is>
      </c>
      <c r="AF39" s="24" t="inlineStr">
        <is>
          <t>O</t>
        </is>
      </c>
      <c r="AG39" s="24" t="inlineStr">
        <is>
          <t>O</t>
        </is>
      </c>
      <c r="AH39" s="24" t="inlineStr">
        <is>
          <t>O</t>
        </is>
      </c>
      <c r="AI39" s="24" t="inlineStr">
        <is>
          <t>O</t>
        </is>
      </c>
      <c r="AJ39" s="24" t="inlineStr">
        <is>
          <t>O</t>
        </is>
      </c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</row>
    <row r="41">
      <c r="A41" s="16" t="n"/>
      <c r="B41" s="18" t="inlineStr">
        <is>
          <t>dbData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16" t="n"/>
      <c r="B42" s="19" t="n"/>
      <c r="C42" s="19" t="n"/>
      <c r="D42" s="23" t="inlineStr">
        <is>
          <t>value per TC</t>
        </is>
      </c>
      <c r="E42" s="22" t="n"/>
      <c r="F42" s="24" t="inlineStr">
        <is>
          <t>O</t>
        </is>
      </c>
      <c r="G42" s="24" t="inlineStr">
        <is>
          <t>O</t>
        </is>
      </c>
      <c r="H42" s="24" t="inlineStr">
        <is>
          <t>O</t>
        </is>
      </c>
      <c r="I42" s="24" t="inlineStr">
        <is>
          <t>O</t>
        </is>
      </c>
      <c r="J42" s="24" t="inlineStr">
        <is>
          <t>O</t>
        </is>
      </c>
      <c r="K42" s="24" t="inlineStr">
        <is>
          <t>O</t>
        </is>
      </c>
      <c r="L42" s="24" t="inlineStr">
        <is>
          <t>O</t>
        </is>
      </c>
      <c r="M42" s="24" t="inlineStr">
        <is>
          <t>O</t>
        </is>
      </c>
      <c r="N42" s="24" t="inlineStr">
        <is>
          <t>O</t>
        </is>
      </c>
      <c r="O42" s="24" t="inlineStr">
        <is>
          <t>O</t>
        </is>
      </c>
      <c r="P42" s="24" t="inlineStr">
        <is>
          <t>O</t>
        </is>
      </c>
      <c r="Q42" s="24" t="inlineStr">
        <is>
          <t>O</t>
        </is>
      </c>
      <c r="R42" s="24" t="inlineStr">
        <is>
          <t>O</t>
        </is>
      </c>
      <c r="S42" s="24" t="inlineStr">
        <is>
          <t>O</t>
        </is>
      </c>
      <c r="T42" s="24" t="inlineStr">
        <is>
          <t>O</t>
        </is>
      </c>
      <c r="U42" s="24" t="inlineStr">
        <is>
          <t>O</t>
        </is>
      </c>
      <c r="V42" s="24" t="inlineStr">
        <is>
          <t>O</t>
        </is>
      </c>
      <c r="W42" s="24" t="inlineStr">
        <is>
          <t>O</t>
        </is>
      </c>
      <c r="X42" s="24" t="inlineStr">
        <is>
          <t>O</t>
        </is>
      </c>
      <c r="Y42" s="24" t="inlineStr">
        <is>
          <t>O</t>
        </is>
      </c>
      <c r="Z42" s="24" t="inlineStr">
        <is>
          <t>O</t>
        </is>
      </c>
      <c r="AA42" s="24" t="inlineStr">
        <is>
          <t>O</t>
        </is>
      </c>
      <c r="AB42" s="24" t="inlineStr">
        <is>
          <t>O</t>
        </is>
      </c>
      <c r="AC42" s="24" t="inlineStr">
        <is>
          <t>O</t>
        </is>
      </c>
      <c r="AD42" s="24" t="inlineStr">
        <is>
          <t>O</t>
        </is>
      </c>
      <c r="AE42" s="24" t="inlineStr">
        <is>
          <t>O</t>
        </is>
      </c>
      <c r="AF42" s="24" t="inlineStr">
        <is>
          <t>O</t>
        </is>
      </c>
      <c r="AG42" s="24" t="inlineStr">
        <is>
          <t>O</t>
        </is>
      </c>
      <c r="AH42" s="24" t="inlineStr">
        <is>
          <t>O</t>
        </is>
      </c>
      <c r="AI42" s="24" t="inlineStr">
        <is>
          <t>O</t>
        </is>
      </c>
      <c r="AJ42" s="24" t="inlineStr">
        <is>
          <t>O</t>
        </is>
      </c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</row>
    <row r="44">
      <c r="A44" s="16" t="n"/>
      <c r="B44" s="18" t="inlineStr">
        <is>
          <t>expectSuccess</t>
        </is>
      </c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</row>
    <row r="45">
      <c r="A45" s="16" t="n"/>
      <c r="B45" s="19" t="n"/>
      <c r="C45" s="19" t="n"/>
      <c r="D45" s="23" t="inlineStr">
        <is>
          <t>value per TC</t>
        </is>
      </c>
      <c r="E45" s="22" t="n"/>
      <c r="F45" s="24" t="inlineStr">
        <is>
          <t>O</t>
        </is>
      </c>
      <c r="G45" s="24" t="inlineStr">
        <is>
          <t>O</t>
        </is>
      </c>
      <c r="H45" s="24" t="inlineStr">
        <is>
          <t>O</t>
        </is>
      </c>
      <c r="I45" s="24" t="inlineStr">
        <is>
          <t>O</t>
        </is>
      </c>
      <c r="J45" s="24" t="inlineStr">
        <is>
          <t>O</t>
        </is>
      </c>
      <c r="K45" s="24" t="inlineStr">
        <is>
          <t>O</t>
        </is>
      </c>
      <c r="L45" s="24" t="inlineStr">
        <is>
          <t>O</t>
        </is>
      </c>
      <c r="M45" s="24" t="inlineStr">
        <is>
          <t>O</t>
        </is>
      </c>
      <c r="N45" s="24" t="inlineStr">
        <is>
          <t>O</t>
        </is>
      </c>
      <c r="O45" s="24" t="inlineStr">
        <is>
          <t>O</t>
        </is>
      </c>
      <c r="P45" s="24" t="inlineStr">
        <is>
          <t>O</t>
        </is>
      </c>
      <c r="Q45" s="24" t="inlineStr">
        <is>
          <t>O</t>
        </is>
      </c>
      <c r="R45" s="24" t="inlineStr">
        <is>
          <t>O</t>
        </is>
      </c>
      <c r="S45" s="24" t="inlineStr">
        <is>
          <t>O</t>
        </is>
      </c>
      <c r="T45" s="24" t="inlineStr">
        <is>
          <t>O</t>
        </is>
      </c>
      <c r="U45" s="24" t="inlineStr">
        <is>
          <t>O</t>
        </is>
      </c>
      <c r="V45" s="24" t="inlineStr">
        <is>
          <t>O</t>
        </is>
      </c>
      <c r="W45" s="24" t="inlineStr">
        <is>
          <t>O</t>
        </is>
      </c>
      <c r="X45" s="24" t="inlineStr">
        <is>
          <t>O</t>
        </is>
      </c>
      <c r="Y45" s="24" t="inlineStr">
        <is>
          <t>O</t>
        </is>
      </c>
      <c r="Z45" s="24" t="inlineStr">
        <is>
          <t>O</t>
        </is>
      </c>
      <c r="AA45" s="24" t="inlineStr">
        <is>
          <t>O</t>
        </is>
      </c>
      <c r="AB45" s="24" t="inlineStr">
        <is>
          <t>O</t>
        </is>
      </c>
      <c r="AC45" s="24" t="inlineStr">
        <is>
          <t>O</t>
        </is>
      </c>
      <c r="AD45" s="24" t="inlineStr">
        <is>
          <t>O</t>
        </is>
      </c>
      <c r="AE45" s="24" t="inlineStr">
        <is>
          <t>O</t>
        </is>
      </c>
      <c r="AF45" s="24" t="inlineStr">
        <is>
          <t>O</t>
        </is>
      </c>
      <c r="AG45" s="24" t="inlineStr">
        <is>
          <t>O</t>
        </is>
      </c>
      <c r="AH45" s="24" t="inlineStr">
        <is>
          <t>O</t>
        </is>
      </c>
      <c r="AI45" s="24" t="inlineStr">
        <is>
          <t>O</t>
        </is>
      </c>
      <c r="AJ45" s="24" t="inlineStr">
        <is>
          <t>O</t>
        </is>
      </c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</row>
    <row r="48">
      <c r="A48" s="15" t="inlineStr">
        <is>
          <t>Confirm</t>
        </is>
      </c>
      <c r="B48" s="18" t="inlineStr">
        <is>
          <t>Return</t>
        </is>
      </c>
      <c r="C48" s="19" t="n"/>
      <c r="D48" s="19" t="n"/>
      <c r="E48" s="22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</row>
    <row r="49">
      <c r="A49" s="16" t="n"/>
      <c r="B49" s="19" t="n"/>
      <c r="C49" s="19" t="n"/>
      <c r="D49" s="23" t="inlineStr">
        <is>
          <t>Assertion verified</t>
        </is>
      </c>
      <c r="E49" s="22" t="n"/>
      <c r="F49" s="24" t="inlineStr">
        <is>
          <t>O</t>
        </is>
      </c>
      <c r="G49" s="24" t="inlineStr">
        <is>
          <t>O</t>
        </is>
      </c>
      <c r="H49" s="24" t="inlineStr">
        <is>
          <t>O</t>
        </is>
      </c>
      <c r="I49" s="24" t="inlineStr">
        <is>
          <t>O</t>
        </is>
      </c>
      <c r="J49" s="24" t="inlineStr">
        <is>
          <t>O</t>
        </is>
      </c>
      <c r="K49" s="24" t="inlineStr">
        <is>
          <t>O</t>
        </is>
      </c>
      <c r="L49" s="24" t="inlineStr">
        <is>
          <t>O</t>
        </is>
      </c>
      <c r="M49" s="24" t="inlineStr">
        <is>
          <t>O</t>
        </is>
      </c>
      <c r="N49" s="24" t="inlineStr">
        <is>
          <t>O</t>
        </is>
      </c>
      <c r="O49" s="24" t="inlineStr">
        <is>
          <t>O</t>
        </is>
      </c>
      <c r="P49" s="24" t="inlineStr">
        <is>
          <t>O</t>
        </is>
      </c>
      <c r="Q49" s="24" t="inlineStr">
        <is>
          <t>O</t>
        </is>
      </c>
      <c r="R49" s="24" t="inlineStr">
        <is>
          <t>O</t>
        </is>
      </c>
      <c r="S49" s="24" t="inlineStr">
        <is>
          <t>O</t>
        </is>
      </c>
      <c r="T49" s="24" t="inlineStr">
        <is>
          <t>O</t>
        </is>
      </c>
      <c r="U49" s="24" t="inlineStr">
        <is>
          <t>O</t>
        </is>
      </c>
      <c r="V49" s="24" t="inlineStr">
        <is>
          <t>O</t>
        </is>
      </c>
      <c r="W49" s="24" t="inlineStr">
        <is>
          <t>O</t>
        </is>
      </c>
      <c r="X49" s="24" t="inlineStr">
        <is>
          <t>O</t>
        </is>
      </c>
      <c r="Y49" s="24" t="inlineStr">
        <is>
          <t>O</t>
        </is>
      </c>
      <c r="Z49" s="24" t="inlineStr">
        <is>
          <t>O</t>
        </is>
      </c>
      <c r="AA49" s="24" t="inlineStr">
        <is>
          <t>O</t>
        </is>
      </c>
      <c r="AB49" s="24" t="inlineStr">
        <is>
          <t>O</t>
        </is>
      </c>
      <c r="AC49" s="24" t="inlineStr">
        <is>
          <t>O</t>
        </is>
      </c>
      <c r="AD49" s="24" t="inlineStr">
        <is>
          <t>O</t>
        </is>
      </c>
      <c r="AE49" s="24" t="inlineStr">
        <is>
          <t>O</t>
        </is>
      </c>
      <c r="AF49" s="24" t="inlineStr">
        <is>
          <t>O</t>
        </is>
      </c>
      <c r="AG49" s="24" t="inlineStr">
        <is>
          <t>O</t>
        </is>
      </c>
      <c r="AH49" s="24" t="inlineStr">
        <is>
          <t>O</t>
        </is>
      </c>
      <c r="AI49" s="24" t="inlineStr">
        <is>
          <t>O</t>
        </is>
      </c>
      <c r="AJ49" s="24" t="inlineStr">
        <is>
          <t>O</t>
        </is>
      </c>
    </row>
    <row r="50">
      <c r="A50" s="16" t="n"/>
      <c r="B50" s="19" t="n"/>
      <c r="C50" s="19" t="n"/>
      <c r="D50" s="19" t="n"/>
      <c r="E50" s="22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16" t="n"/>
      <c r="B51" s="18" t="inlineStr">
        <is>
          <t>Exception</t>
        </is>
      </c>
      <c r="C51" s="19" t="n"/>
      <c r="D51" s="19" t="n"/>
      <c r="E51" s="22" t="n"/>
      <c r="F51" s="24" t="inlineStr">
        <is>
          <t>O</t>
        </is>
      </c>
      <c r="G51" s="24" t="inlineStr">
        <is>
          <t>O</t>
        </is>
      </c>
      <c r="H51" s="24" t="inlineStr">
        <is>
          <t>O</t>
        </is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</row>
    <row r="52">
      <c r="A52" s="16" t="n"/>
      <c r="B52" s="19" t="n"/>
      <c r="C52" s="19" t="n"/>
      <c r="D52" s="19" t="n"/>
      <c r="E52" s="22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16" t="n"/>
      <c r="B53" s="18" t="inlineStr">
        <is>
          <t>Log message</t>
        </is>
      </c>
      <c r="C53" s="19" t="n"/>
      <c r="D53" s="19" t="n"/>
      <c r="E53" s="22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</row>
    <row r="54">
      <c r="A54" s="16" t="n"/>
      <c r="B54" s="19" t="n"/>
      <c r="C54" s="19" t="n"/>
      <c r="D54" s="19" t="n"/>
      <c r="E54" s="22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</row>
    <row r="55">
      <c r="A55" s="16" t="n"/>
      <c r="B55" s="19" t="n"/>
      <c r="C55" s="19" t="n"/>
      <c r="D55" s="19" t="n"/>
      <c r="E55" s="22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</row>
    <row r="56">
      <c r="A56" s="15" t="inlineStr">
        <is>
          <t>Result</t>
        </is>
      </c>
      <c r="B56" s="17" t="inlineStr">
        <is>
          <t>Type(N : Normal, A : Abnormal, B : Boundary)</t>
        </is>
      </c>
      <c r="C56" s="4" t="n"/>
      <c r="D56" s="4" t="n"/>
      <c r="E56" s="4" t="n"/>
      <c r="F56" s="25" t="inlineStr">
        <is>
          <t>A</t>
        </is>
      </c>
      <c r="G56" s="25" t="inlineStr">
        <is>
          <t>A</t>
        </is>
      </c>
      <c r="H56" s="25" t="inlineStr">
        <is>
          <t>A</t>
        </is>
      </c>
      <c r="I56" s="25" t="inlineStr">
        <is>
          <t>N</t>
        </is>
      </c>
      <c r="J56" s="25" t="inlineStr">
        <is>
          <t>N</t>
        </is>
      </c>
      <c r="K56" s="25" t="inlineStr">
        <is>
          <t>N</t>
        </is>
      </c>
      <c r="L56" s="25" t="inlineStr">
        <is>
          <t>N</t>
        </is>
      </c>
      <c r="M56" s="25" t="inlineStr">
        <is>
          <t>N</t>
        </is>
      </c>
      <c r="N56" s="25" t="inlineStr">
        <is>
          <t>N</t>
        </is>
      </c>
      <c r="O56" s="25" t="inlineStr">
        <is>
          <t>N</t>
        </is>
      </c>
      <c r="P56" s="25" t="inlineStr">
        <is>
          <t>N</t>
        </is>
      </c>
      <c r="Q56" s="25" t="inlineStr">
        <is>
          <t>N</t>
        </is>
      </c>
      <c r="R56" s="25" t="inlineStr">
        <is>
          <t>N</t>
        </is>
      </c>
      <c r="S56" s="25" t="inlineStr">
        <is>
          <t>N</t>
        </is>
      </c>
      <c r="T56" s="25" t="inlineStr">
        <is>
          <t>N</t>
        </is>
      </c>
      <c r="U56" s="25" t="inlineStr">
        <is>
          <t>N</t>
        </is>
      </c>
      <c r="V56" s="25" t="inlineStr">
        <is>
          <t>N</t>
        </is>
      </c>
      <c r="W56" s="25" t="inlineStr">
        <is>
          <t>N</t>
        </is>
      </c>
      <c r="X56" s="25" t="inlineStr">
        <is>
          <t>N</t>
        </is>
      </c>
      <c r="Y56" s="25" t="inlineStr">
        <is>
          <t>N</t>
        </is>
      </c>
      <c r="Z56" s="25" t="inlineStr">
        <is>
          <t>N</t>
        </is>
      </c>
      <c r="AA56" s="25" t="inlineStr">
        <is>
          <t>N</t>
        </is>
      </c>
      <c r="AB56" s="25" t="inlineStr">
        <is>
          <t>N</t>
        </is>
      </c>
      <c r="AC56" s="25" t="inlineStr">
        <is>
          <t>N</t>
        </is>
      </c>
      <c r="AD56" s="25" t="inlineStr">
        <is>
          <t>N</t>
        </is>
      </c>
      <c r="AE56" s="25" t="inlineStr">
        <is>
          <t>N</t>
        </is>
      </c>
      <c r="AF56" s="25" t="inlineStr">
        <is>
          <t>N</t>
        </is>
      </c>
      <c r="AG56" s="25" t="inlineStr">
        <is>
          <t>N</t>
        </is>
      </c>
      <c r="AH56" s="25" t="inlineStr">
        <is>
          <t>N</t>
        </is>
      </c>
      <c r="AI56" s="25" t="inlineStr">
        <is>
          <t>N</t>
        </is>
      </c>
      <c r="AJ56" s="25" t="inlineStr">
        <is>
          <t>N</t>
        </is>
      </c>
    </row>
    <row r="57">
      <c r="A57" s="16" t="n"/>
      <c r="B57" s="17" t="inlineStr">
        <is>
          <t>Passed/Failed</t>
        </is>
      </c>
      <c r="C57" s="4" t="n"/>
      <c r="D57" s="4" t="n"/>
      <c r="E57" s="4" t="n"/>
      <c r="F57" s="25" t="inlineStr">
        <is>
          <t>P</t>
        </is>
      </c>
      <c r="G57" s="25" t="inlineStr">
        <is>
          <t>P</t>
        </is>
      </c>
      <c r="H57" s="25" t="inlineStr">
        <is>
          <t>P</t>
        </is>
      </c>
      <c r="I57" s="25" t="inlineStr">
        <is>
          <t>P</t>
        </is>
      </c>
      <c r="J57" s="25" t="inlineStr">
        <is>
          <t>P</t>
        </is>
      </c>
      <c r="K57" s="25" t="inlineStr">
        <is>
          <t>P</t>
        </is>
      </c>
      <c r="L57" s="25" t="inlineStr">
        <is>
          <t>P</t>
        </is>
      </c>
      <c r="M57" s="25" t="inlineStr">
        <is>
          <t>P</t>
        </is>
      </c>
      <c r="N57" s="25" t="inlineStr">
        <is>
          <t>P</t>
        </is>
      </c>
      <c r="O57" s="25" t="inlineStr">
        <is>
          <t>P</t>
        </is>
      </c>
      <c r="P57" s="25" t="inlineStr">
        <is>
          <t>P</t>
        </is>
      </c>
      <c r="Q57" s="25" t="inlineStr">
        <is>
          <t>P</t>
        </is>
      </c>
      <c r="R57" s="25" t="inlineStr">
        <is>
          <t>P</t>
        </is>
      </c>
      <c r="S57" s="25" t="inlineStr">
        <is>
          <t>P</t>
        </is>
      </c>
      <c r="T57" s="25" t="inlineStr">
        <is>
          <t>P</t>
        </is>
      </c>
      <c r="U57" s="25" t="inlineStr">
        <is>
          <t>P</t>
        </is>
      </c>
      <c r="V57" s="25" t="inlineStr">
        <is>
          <t>P</t>
        </is>
      </c>
      <c r="W57" s="25" t="inlineStr">
        <is>
          <t>P</t>
        </is>
      </c>
      <c r="X57" s="25" t="inlineStr">
        <is>
          <t>P</t>
        </is>
      </c>
      <c r="Y57" s="25" t="inlineStr">
        <is>
          <t>P</t>
        </is>
      </c>
      <c r="Z57" s="25" t="inlineStr">
        <is>
          <t>P</t>
        </is>
      </c>
      <c r="AA57" s="25" t="inlineStr">
        <is>
          <t>P</t>
        </is>
      </c>
      <c r="AB57" s="25" t="inlineStr">
        <is>
          <t>P</t>
        </is>
      </c>
      <c r="AC57" s="25" t="inlineStr">
        <is>
          <t>P</t>
        </is>
      </c>
      <c r="AD57" s="25" t="inlineStr">
        <is>
          <t>P</t>
        </is>
      </c>
      <c r="AE57" s="25" t="inlineStr">
        <is>
          <t>P</t>
        </is>
      </c>
      <c r="AF57" s="25" t="inlineStr">
        <is>
          <t>P</t>
        </is>
      </c>
      <c r="AG57" s="25" t="inlineStr">
        <is>
          <t>P</t>
        </is>
      </c>
      <c r="AH57" s="25" t="inlineStr">
        <is>
          <t>P</t>
        </is>
      </c>
      <c r="AI57" s="25" t="inlineStr">
        <is>
          <t>P</t>
        </is>
      </c>
      <c r="AJ57" s="25" t="inlineStr">
        <is>
          <t>P</t>
        </is>
      </c>
    </row>
    <row r="58">
      <c r="A58" s="16" t="n"/>
      <c r="B58" s="17" t="inlineStr">
        <is>
          <t>Executed Date</t>
        </is>
      </c>
      <c r="C58" s="4" t="n"/>
      <c r="D58" s="4" t="n"/>
      <c r="E58" s="4" t="n"/>
      <c r="F58" s="26" t="n">
        <v>46215</v>
      </c>
      <c r="G58" s="26" t="n">
        <v>46215</v>
      </c>
      <c r="H58" s="26" t="n">
        <v>46215</v>
      </c>
      <c r="I58" s="26" t="n">
        <v>46215</v>
      </c>
      <c r="J58" s="26" t="n">
        <v>46215</v>
      </c>
      <c r="K58" s="26" t="n">
        <v>46215</v>
      </c>
      <c r="L58" s="26" t="n">
        <v>46215</v>
      </c>
      <c r="M58" s="26" t="n">
        <v>46215</v>
      </c>
      <c r="N58" s="26" t="n">
        <v>46215</v>
      </c>
      <c r="O58" s="26" t="n">
        <v>46215</v>
      </c>
      <c r="P58" s="26" t="n">
        <v>46215</v>
      </c>
      <c r="Q58" s="26" t="n">
        <v>46215</v>
      </c>
      <c r="R58" s="26" t="n">
        <v>46215</v>
      </c>
      <c r="S58" s="26" t="n">
        <v>46215</v>
      </c>
      <c r="T58" s="26" t="n">
        <v>46215</v>
      </c>
      <c r="U58" s="26" t="n">
        <v>46215</v>
      </c>
      <c r="V58" s="26" t="n">
        <v>46215</v>
      </c>
      <c r="W58" s="26" t="n">
        <v>46215</v>
      </c>
      <c r="X58" s="26" t="n">
        <v>46215</v>
      </c>
      <c r="Y58" s="26" t="n">
        <v>46215</v>
      </c>
      <c r="Z58" s="26" t="n">
        <v>46215</v>
      </c>
      <c r="AA58" s="26" t="n">
        <v>46215</v>
      </c>
      <c r="AB58" s="26" t="n">
        <v>46215</v>
      </c>
      <c r="AC58" s="26" t="n">
        <v>46215</v>
      </c>
      <c r="AD58" s="26" t="n">
        <v>46215</v>
      </c>
      <c r="AE58" s="26" t="n">
        <v>46215</v>
      </c>
      <c r="AF58" s="26" t="n">
        <v>46215</v>
      </c>
      <c r="AG58" s="26" t="n">
        <v>46215</v>
      </c>
      <c r="AH58" s="26" t="n">
        <v>46215</v>
      </c>
      <c r="AI58" s="26" t="n">
        <v>46215</v>
      </c>
      <c r="AJ58" s="26" t="n">
        <v>46215</v>
      </c>
    </row>
    <row r="59">
      <c r="A59" s="16" t="n"/>
      <c r="B59" s="17" t="inlineStr">
        <is>
          <t>Defect ID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</row>
  </sheetData>
  <mergeCells count="27">
    <mergeCell ref="F2:K2"/>
    <mergeCell ref="A6:B6"/>
    <mergeCell ref="C4:D4"/>
    <mergeCell ref="C2:E2"/>
    <mergeCell ref="A7:B7"/>
    <mergeCell ref="B59:E59"/>
    <mergeCell ref="O7:AJ7"/>
    <mergeCell ref="C7:E7"/>
    <mergeCell ref="L6:N6"/>
    <mergeCell ref="A3:B3"/>
    <mergeCell ref="L2:AJ2"/>
    <mergeCell ref="O6:AJ6"/>
    <mergeCell ref="A2:B2"/>
    <mergeCell ref="B56:E56"/>
    <mergeCell ref="B58:E58"/>
    <mergeCell ref="A5:B5"/>
    <mergeCell ref="C3:E3"/>
    <mergeCell ref="C5:AJ5"/>
    <mergeCell ref="F4:K4"/>
    <mergeCell ref="C6:E6"/>
    <mergeCell ref="A4:B4"/>
    <mergeCell ref="B57:E57"/>
    <mergeCell ref="F6:K6"/>
    <mergeCell ref="F7:K7"/>
    <mergeCell ref="L3:N3"/>
    <mergeCell ref="F3:K3"/>
    <mergeCell ref="L4:A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BD6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</cols>
  <sheetData>
    <row r="2">
      <c r="A2" s="15" t="inlineStr">
        <is>
          <t>Function Code</t>
        </is>
      </c>
      <c r="B2" s="16" t="n"/>
      <c r="C2" s="17" t="inlineStr">
        <is>
          <t>DeskCirculationServiceUnitTest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DeskCirculationService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</row>
    <row r="4">
      <c r="A4" s="15" t="inlineStr">
        <is>
          <t>Lines  of code</t>
        </is>
      </c>
      <c r="B4" s="16" t="n"/>
      <c r="C4" s="17" t="n">
        <v>1100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59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</row>
    <row r="5">
      <c r="A5" s="15" t="inlineStr">
        <is>
          <t>Test requirement</t>
        </is>
      </c>
      <c r="B5" s="16" t="n"/>
      <c r="C5" s="17" t="inlineStr">
        <is>
          <t>Unit test for DeskCirculationService (f6)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</row>
    <row r="7">
      <c r="A7" s="20">
        <f>COUNTIF(F60:BD60,"P")</f>
        <v/>
      </c>
      <c r="B7" s="4" t="n"/>
      <c r="C7" s="20">
        <f>COUNTIF(F60:BD60,"F")</f>
        <v/>
      </c>
      <c r="D7" s="4" t="n"/>
      <c r="E7" s="4" t="n"/>
      <c r="F7" s="20">
        <f>51-A7-C7</f>
        <v/>
      </c>
      <c r="G7" s="4" t="n"/>
      <c r="H7" s="4" t="n"/>
      <c r="I7" s="4" t="n"/>
      <c r="J7" s="4" t="n"/>
      <c r="K7" s="4" t="n"/>
      <c r="L7" s="17">
        <f>COUNTIF(F59:BD59,"N")</f>
        <v/>
      </c>
      <c r="M7" s="17">
        <f>COUNTIF(F59:BD59,"A")</f>
        <v/>
      </c>
      <c r="N7" s="17">
        <f>COUNTIF(F59:BD59,"B")</f>
        <v/>
      </c>
      <c r="O7" s="20" t="n">
        <v>51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  <c r="BD8" s="21" t="inlineStr">
        <is>
          <t>TC051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  <c r="BD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  <c r="BD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>
      <c r="A17" s="16" t="n"/>
      <c r="B17" s="18" t="inlineStr">
        <is>
          <t>action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  <c r="BD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>
      <c r="A20" s="16" t="n"/>
      <c r="B20" s="18" t="inlineStr">
        <is>
          <t>memberCode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  <c r="BD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>
      <c r="A23" s="16" t="n"/>
      <c r="B23" s="18" t="inlineStr">
        <is>
          <t>barcode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  <c r="AY24" s="24" t="inlineStr">
        <is>
          <t>O</t>
        </is>
      </c>
      <c r="AZ24" s="24" t="inlineStr">
        <is>
          <t>O</t>
        </is>
      </c>
      <c r="BA24" s="24" t="inlineStr">
        <is>
          <t>O</t>
        </is>
      </c>
      <c r="BB24" s="24" t="inlineStr">
        <is>
          <t>O</t>
        </is>
      </c>
      <c r="BC24" s="24" t="inlineStr">
        <is>
          <t>O</t>
        </is>
      </c>
      <c r="BD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>
      <c r="A26" s="16" t="n"/>
      <c r="B26" s="18" t="inlineStr">
        <is>
          <t>condition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  <c r="AK27" s="24" t="inlineStr">
        <is>
          <t>O</t>
        </is>
      </c>
      <c r="AL27" s="24" t="inlineStr">
        <is>
          <t>O</t>
        </is>
      </c>
      <c r="AM27" s="24" t="inlineStr">
        <is>
          <t>O</t>
        </is>
      </c>
      <c r="AN27" s="24" t="inlineStr">
        <is>
          <t>O</t>
        </is>
      </c>
      <c r="AO27" s="24" t="inlineStr">
        <is>
          <t>O</t>
        </is>
      </c>
      <c r="AP27" s="24" t="inlineStr">
        <is>
          <t>O</t>
        </is>
      </c>
      <c r="AQ27" s="24" t="inlineStr">
        <is>
          <t>O</t>
        </is>
      </c>
      <c r="AR27" s="24" t="inlineStr">
        <is>
          <t>O</t>
        </is>
      </c>
      <c r="AS27" s="24" t="inlineStr">
        <is>
          <t>O</t>
        </is>
      </c>
      <c r="AT27" s="24" t="inlineStr">
        <is>
          <t>O</t>
        </is>
      </c>
      <c r="AU27" s="24" t="inlineStr">
        <is>
          <t>O</t>
        </is>
      </c>
      <c r="AV27" s="24" t="inlineStr">
        <is>
          <t>O</t>
        </is>
      </c>
      <c r="AW27" s="24" t="inlineStr">
        <is>
          <t>O</t>
        </is>
      </c>
      <c r="AX27" s="24" t="inlineStr">
        <is>
          <t>O</t>
        </is>
      </c>
      <c r="AY27" s="24" t="inlineStr">
        <is>
          <t>O</t>
        </is>
      </c>
      <c r="AZ27" s="24" t="inlineStr">
        <is>
          <t>O</t>
        </is>
      </c>
      <c r="BA27" s="24" t="inlineStr">
        <is>
          <t>O</t>
        </is>
      </c>
      <c r="BB27" s="24" t="inlineStr">
        <is>
          <t>O</t>
        </is>
      </c>
      <c r="BC27" s="24" t="inlineStr">
        <is>
          <t>O</t>
        </is>
      </c>
      <c r="BD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>
      <c r="A29" s="16" t="n"/>
      <c r="B29" s="18" t="inlineStr">
        <is>
          <t>paymentId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  <c r="AK30" s="24" t="inlineStr">
        <is>
          <t>O</t>
        </is>
      </c>
      <c r="AL30" s="24" t="inlineStr">
        <is>
          <t>O</t>
        </is>
      </c>
      <c r="AM30" s="24" t="inlineStr">
        <is>
          <t>O</t>
        </is>
      </c>
      <c r="AN30" s="24" t="inlineStr">
        <is>
          <t>O</t>
        </is>
      </c>
      <c r="AO30" s="24" t="inlineStr">
        <is>
          <t>O</t>
        </is>
      </c>
      <c r="AP30" s="24" t="inlineStr">
        <is>
          <t>O</t>
        </is>
      </c>
      <c r="AQ30" s="24" t="inlineStr">
        <is>
          <t>O</t>
        </is>
      </c>
      <c r="AR30" s="24" t="inlineStr">
        <is>
          <t>O</t>
        </is>
      </c>
      <c r="AS30" s="24" t="inlineStr">
        <is>
          <t>O</t>
        </is>
      </c>
      <c r="AT30" s="24" t="inlineStr">
        <is>
          <t>O</t>
        </is>
      </c>
      <c r="AU30" s="24" t="inlineStr">
        <is>
          <t>O</t>
        </is>
      </c>
      <c r="AV30" s="24" t="inlineStr">
        <is>
          <t>O</t>
        </is>
      </c>
      <c r="AW30" s="24" t="inlineStr">
        <is>
          <t>O</t>
        </is>
      </c>
      <c r="AX30" s="24" t="inlineStr">
        <is>
          <t>O</t>
        </is>
      </c>
      <c r="AY30" s="24" t="inlineStr">
        <is>
          <t>O</t>
        </is>
      </c>
      <c r="AZ30" s="24" t="inlineStr">
        <is>
          <t>O</t>
        </is>
      </c>
      <c r="BA30" s="24" t="inlineStr">
        <is>
          <t>O</t>
        </is>
      </c>
      <c r="BB30" s="24" t="inlineStr">
        <is>
          <t>O</t>
        </is>
      </c>
      <c r="BC30" s="24" t="inlineStr">
        <is>
          <t>O</t>
        </is>
      </c>
      <c r="BD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>
      <c r="A32" s="16" t="n"/>
      <c r="B32" s="18" t="inlineStr">
        <is>
          <t>userId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  <c r="AF33" s="24" t="inlineStr">
        <is>
          <t>O</t>
        </is>
      </c>
      <c r="AG33" s="24" t="inlineStr">
        <is>
          <t>O</t>
        </is>
      </c>
      <c r="AH33" s="24" t="inlineStr">
        <is>
          <t>O</t>
        </is>
      </c>
      <c r="AI33" s="24" t="inlineStr">
        <is>
          <t>O</t>
        </is>
      </c>
      <c r="AJ33" s="24" t="inlineStr">
        <is>
          <t>O</t>
        </is>
      </c>
      <c r="AK33" s="24" t="inlineStr">
        <is>
          <t>O</t>
        </is>
      </c>
      <c r="AL33" s="24" t="inlineStr">
        <is>
          <t>O</t>
        </is>
      </c>
      <c r="AM33" s="24" t="inlineStr">
        <is>
          <t>O</t>
        </is>
      </c>
      <c r="AN33" s="24" t="inlineStr">
        <is>
          <t>O</t>
        </is>
      </c>
      <c r="AO33" s="24" t="inlineStr">
        <is>
          <t>O</t>
        </is>
      </c>
      <c r="AP33" s="24" t="inlineStr">
        <is>
          <t>O</t>
        </is>
      </c>
      <c r="AQ33" s="24" t="inlineStr">
        <is>
          <t>O</t>
        </is>
      </c>
      <c r="AR33" s="24" t="inlineStr">
        <is>
          <t>O</t>
        </is>
      </c>
      <c r="AS33" s="24" t="inlineStr">
        <is>
          <t>O</t>
        </is>
      </c>
      <c r="AT33" s="24" t="inlineStr">
        <is>
          <t>O</t>
        </is>
      </c>
      <c r="AU33" s="24" t="inlineStr">
        <is>
          <t>O</t>
        </is>
      </c>
      <c r="AV33" s="24" t="inlineStr">
        <is>
          <t>O</t>
        </is>
      </c>
      <c r="AW33" s="24" t="inlineStr">
        <is>
          <t>O</t>
        </is>
      </c>
      <c r="AX33" s="24" t="inlineStr">
        <is>
          <t>O</t>
        </is>
      </c>
      <c r="AY33" s="24" t="inlineStr">
        <is>
          <t>O</t>
        </is>
      </c>
      <c r="AZ33" s="24" t="inlineStr">
        <is>
          <t>O</t>
        </is>
      </c>
      <c r="BA33" s="24" t="inlineStr">
        <is>
          <t>O</t>
        </is>
      </c>
      <c r="BB33" s="24" t="inlineStr">
        <is>
          <t>O</t>
        </is>
      </c>
      <c r="BC33" s="24" t="inlineStr">
        <is>
          <t>O</t>
        </is>
      </c>
      <c r="BD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>
      <c r="A35" s="16" t="n"/>
      <c r="B35" s="18" t="inlineStr">
        <is>
          <t>Map&lt;String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  <c r="AA36" s="24" t="inlineStr">
        <is>
          <t>O</t>
        </is>
      </c>
      <c r="AB36" s="24" t="inlineStr">
        <is>
          <t>O</t>
        </is>
      </c>
      <c r="AC36" s="24" t="inlineStr">
        <is>
          <t>O</t>
        </is>
      </c>
      <c r="AD36" s="24" t="inlineStr">
        <is>
          <t>O</t>
        </is>
      </c>
      <c r="AE36" s="24" t="inlineStr">
        <is>
          <t>O</t>
        </is>
      </c>
      <c r="AF36" s="24" t="inlineStr">
        <is>
          <t>O</t>
        </is>
      </c>
      <c r="AG36" s="24" t="inlineStr">
        <is>
          <t>O</t>
        </is>
      </c>
      <c r="AH36" s="24" t="inlineStr">
        <is>
          <t>O</t>
        </is>
      </c>
      <c r="AI36" s="24" t="inlineStr">
        <is>
          <t>O</t>
        </is>
      </c>
      <c r="AJ36" s="24" t="inlineStr">
        <is>
          <t>O</t>
        </is>
      </c>
      <c r="AK36" s="24" t="inlineStr">
        <is>
          <t>O</t>
        </is>
      </c>
      <c r="AL36" s="24" t="inlineStr">
        <is>
          <t>O</t>
        </is>
      </c>
      <c r="AM36" s="24" t="inlineStr">
        <is>
          <t>O</t>
        </is>
      </c>
      <c r="AN36" s="24" t="inlineStr">
        <is>
          <t>O</t>
        </is>
      </c>
      <c r="AO36" s="24" t="inlineStr">
        <is>
          <t>O</t>
        </is>
      </c>
      <c r="AP36" s="24" t="inlineStr">
        <is>
          <t>O</t>
        </is>
      </c>
      <c r="AQ36" s="24" t="inlineStr">
        <is>
          <t>O</t>
        </is>
      </c>
      <c r="AR36" s="24" t="inlineStr">
        <is>
          <t>O</t>
        </is>
      </c>
      <c r="AS36" s="24" t="inlineStr">
        <is>
          <t>O</t>
        </is>
      </c>
      <c r="AT36" s="24" t="inlineStr">
        <is>
          <t>O</t>
        </is>
      </c>
      <c r="AU36" s="24" t="inlineStr">
        <is>
          <t>O</t>
        </is>
      </c>
      <c r="AV36" s="24" t="inlineStr">
        <is>
          <t>O</t>
        </is>
      </c>
      <c r="AW36" s="24" t="inlineStr">
        <is>
          <t>O</t>
        </is>
      </c>
      <c r="AX36" s="24" t="inlineStr">
        <is>
          <t>O</t>
        </is>
      </c>
      <c r="AY36" s="24" t="inlineStr">
        <is>
          <t>O</t>
        </is>
      </c>
      <c r="AZ36" s="24" t="inlineStr">
        <is>
          <t>O</t>
        </is>
      </c>
      <c r="BA36" s="24" t="inlineStr">
        <is>
          <t>O</t>
        </is>
      </c>
      <c r="BB36" s="24" t="inlineStr">
        <is>
          <t>O</t>
        </is>
      </c>
      <c r="BC36" s="24" t="inlineStr">
        <is>
          <t>O</t>
        </is>
      </c>
      <c r="BD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>
      <c r="A38" s="16" t="n"/>
      <c r="B38" s="18" t="inlineStr">
        <is>
          <t>List&lt;Map&lt;String</t>
        </is>
      </c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>
      <c r="A39" s="16" t="n"/>
      <c r="B39" s="19" t="n"/>
      <c r="C39" s="19" t="n"/>
      <c r="D39" s="23" t="inlineStr">
        <is>
          <t>value per TC</t>
        </is>
      </c>
      <c r="E39" s="22" t="n"/>
      <c r="F39" s="24" t="inlineStr">
        <is>
          <t>O</t>
        </is>
      </c>
      <c r="G39" s="24" t="inlineStr">
        <is>
          <t>O</t>
        </is>
      </c>
      <c r="H39" s="24" t="inlineStr">
        <is>
          <t>O</t>
        </is>
      </c>
      <c r="I39" s="24" t="inlineStr">
        <is>
          <t>O</t>
        </is>
      </c>
      <c r="J39" s="24" t="inlineStr">
        <is>
          <t>O</t>
        </is>
      </c>
      <c r="K39" s="24" t="inlineStr">
        <is>
          <t>O</t>
        </is>
      </c>
      <c r="L39" s="24" t="inlineStr">
        <is>
          <t>O</t>
        </is>
      </c>
      <c r="M39" s="24" t="inlineStr">
        <is>
          <t>O</t>
        </is>
      </c>
      <c r="N39" s="24" t="inlineStr">
        <is>
          <t>O</t>
        </is>
      </c>
      <c r="O39" s="24" t="inlineStr">
        <is>
          <t>O</t>
        </is>
      </c>
      <c r="P39" s="24" t="inlineStr">
        <is>
          <t>O</t>
        </is>
      </c>
      <c r="Q39" s="24" t="inlineStr">
        <is>
          <t>O</t>
        </is>
      </c>
      <c r="R39" s="24" t="inlineStr">
        <is>
          <t>O</t>
        </is>
      </c>
      <c r="S39" s="24" t="inlineStr">
        <is>
          <t>O</t>
        </is>
      </c>
      <c r="T39" s="24" t="inlineStr">
        <is>
          <t>O</t>
        </is>
      </c>
      <c r="U39" s="24" t="inlineStr">
        <is>
          <t>O</t>
        </is>
      </c>
      <c r="V39" s="24" t="inlineStr">
        <is>
          <t>O</t>
        </is>
      </c>
      <c r="W39" s="24" t="inlineStr">
        <is>
          <t>O</t>
        </is>
      </c>
      <c r="X39" s="24" t="inlineStr">
        <is>
          <t>O</t>
        </is>
      </c>
      <c r="Y39" s="24" t="inlineStr">
        <is>
          <t>O</t>
        </is>
      </c>
      <c r="Z39" s="24" t="inlineStr">
        <is>
          <t>O</t>
        </is>
      </c>
      <c r="AA39" s="24" t="inlineStr">
        <is>
          <t>O</t>
        </is>
      </c>
      <c r="AB39" s="24" t="inlineStr">
        <is>
          <t>O</t>
        </is>
      </c>
      <c r="AC39" s="24" t="inlineStr">
        <is>
          <t>O</t>
        </is>
      </c>
      <c r="AD39" s="24" t="inlineStr">
        <is>
          <t>O</t>
        </is>
      </c>
      <c r="AE39" s="24" t="inlineStr">
        <is>
          <t>O</t>
        </is>
      </c>
      <c r="AF39" s="24" t="inlineStr">
        <is>
          <t>O</t>
        </is>
      </c>
      <c r="AG39" s="24" t="inlineStr">
        <is>
          <t>O</t>
        </is>
      </c>
      <c r="AH39" s="24" t="inlineStr">
        <is>
          <t>O</t>
        </is>
      </c>
      <c r="AI39" s="24" t="inlineStr">
        <is>
          <t>O</t>
        </is>
      </c>
      <c r="AJ39" s="24" t="inlineStr">
        <is>
          <t>O</t>
        </is>
      </c>
      <c r="AK39" s="24" t="inlineStr">
        <is>
          <t>O</t>
        </is>
      </c>
      <c r="AL39" s="24" t="inlineStr">
        <is>
          <t>O</t>
        </is>
      </c>
      <c r="AM39" s="24" t="inlineStr">
        <is>
          <t>O</t>
        </is>
      </c>
      <c r="AN39" s="24" t="inlineStr">
        <is>
          <t>O</t>
        </is>
      </c>
      <c r="AO39" s="24" t="inlineStr">
        <is>
          <t>O</t>
        </is>
      </c>
      <c r="AP39" s="24" t="inlineStr">
        <is>
          <t>O</t>
        </is>
      </c>
      <c r="AQ39" s="24" t="inlineStr">
        <is>
          <t>O</t>
        </is>
      </c>
      <c r="AR39" s="24" t="inlineStr">
        <is>
          <t>O</t>
        </is>
      </c>
      <c r="AS39" s="24" t="inlineStr">
        <is>
          <t>O</t>
        </is>
      </c>
      <c r="AT39" s="24" t="inlineStr">
        <is>
          <t>O</t>
        </is>
      </c>
      <c r="AU39" s="24" t="inlineStr">
        <is>
          <t>O</t>
        </is>
      </c>
      <c r="AV39" s="24" t="inlineStr">
        <is>
          <t>O</t>
        </is>
      </c>
      <c r="AW39" s="24" t="inlineStr">
        <is>
          <t>O</t>
        </is>
      </c>
      <c r="AX39" s="24" t="inlineStr">
        <is>
          <t>O</t>
        </is>
      </c>
      <c r="AY39" s="24" t="inlineStr">
        <is>
          <t>O</t>
        </is>
      </c>
      <c r="AZ39" s="24" t="inlineStr">
        <is>
          <t>O</t>
        </is>
      </c>
      <c r="BA39" s="24" t="inlineStr">
        <is>
          <t>O</t>
        </is>
      </c>
      <c r="BB39" s="24" t="inlineStr">
        <is>
          <t>O</t>
        </is>
      </c>
      <c r="BC39" s="24" t="inlineStr">
        <is>
          <t>O</t>
        </is>
      </c>
      <c r="BD39" s="24" t="inlineStr">
        <is>
          <t>O</t>
        </is>
      </c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</row>
    <row r="41">
      <c r="A41" s="16" t="n"/>
      <c r="B41" s="18" t="inlineStr">
        <is>
          <t>dbData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</row>
    <row r="42">
      <c r="A42" s="16" t="n"/>
      <c r="B42" s="19" t="n"/>
      <c r="C42" s="19" t="n"/>
      <c r="D42" s="23" t="inlineStr">
        <is>
          <t>value per TC</t>
        </is>
      </c>
      <c r="E42" s="22" t="n"/>
      <c r="F42" s="24" t="inlineStr">
        <is>
          <t>O</t>
        </is>
      </c>
      <c r="G42" s="24" t="inlineStr">
        <is>
          <t>O</t>
        </is>
      </c>
      <c r="H42" s="24" t="inlineStr">
        <is>
          <t>O</t>
        </is>
      </c>
      <c r="I42" s="24" t="inlineStr">
        <is>
          <t>O</t>
        </is>
      </c>
      <c r="J42" s="24" t="inlineStr">
        <is>
          <t>O</t>
        </is>
      </c>
      <c r="K42" s="24" t="inlineStr">
        <is>
          <t>O</t>
        </is>
      </c>
      <c r="L42" s="24" t="inlineStr">
        <is>
          <t>O</t>
        </is>
      </c>
      <c r="M42" s="24" t="inlineStr">
        <is>
          <t>O</t>
        </is>
      </c>
      <c r="N42" s="24" t="inlineStr">
        <is>
          <t>O</t>
        </is>
      </c>
      <c r="O42" s="24" t="inlineStr">
        <is>
          <t>O</t>
        </is>
      </c>
      <c r="P42" s="24" t="inlineStr">
        <is>
          <t>O</t>
        </is>
      </c>
      <c r="Q42" s="24" t="inlineStr">
        <is>
          <t>O</t>
        </is>
      </c>
      <c r="R42" s="24" t="inlineStr">
        <is>
          <t>O</t>
        </is>
      </c>
      <c r="S42" s="24" t="inlineStr">
        <is>
          <t>O</t>
        </is>
      </c>
      <c r="T42" s="24" t="inlineStr">
        <is>
          <t>O</t>
        </is>
      </c>
      <c r="U42" s="24" t="inlineStr">
        <is>
          <t>O</t>
        </is>
      </c>
      <c r="V42" s="24" t="inlineStr">
        <is>
          <t>O</t>
        </is>
      </c>
      <c r="W42" s="24" t="inlineStr">
        <is>
          <t>O</t>
        </is>
      </c>
      <c r="X42" s="24" t="inlineStr">
        <is>
          <t>O</t>
        </is>
      </c>
      <c r="Y42" s="24" t="inlineStr">
        <is>
          <t>O</t>
        </is>
      </c>
      <c r="Z42" s="24" t="inlineStr">
        <is>
          <t>O</t>
        </is>
      </c>
      <c r="AA42" s="24" t="inlineStr">
        <is>
          <t>O</t>
        </is>
      </c>
      <c r="AB42" s="24" t="inlineStr">
        <is>
          <t>O</t>
        </is>
      </c>
      <c r="AC42" s="24" t="inlineStr">
        <is>
          <t>O</t>
        </is>
      </c>
      <c r="AD42" s="24" t="inlineStr">
        <is>
          <t>O</t>
        </is>
      </c>
      <c r="AE42" s="24" t="inlineStr">
        <is>
          <t>O</t>
        </is>
      </c>
      <c r="AF42" s="24" t="inlineStr">
        <is>
          <t>O</t>
        </is>
      </c>
      <c r="AG42" s="24" t="inlineStr">
        <is>
          <t>O</t>
        </is>
      </c>
      <c r="AH42" s="24" t="inlineStr">
        <is>
          <t>O</t>
        </is>
      </c>
      <c r="AI42" s="24" t="inlineStr">
        <is>
          <t>O</t>
        </is>
      </c>
      <c r="AJ42" s="24" t="inlineStr">
        <is>
          <t>O</t>
        </is>
      </c>
      <c r="AK42" s="24" t="inlineStr">
        <is>
          <t>O</t>
        </is>
      </c>
      <c r="AL42" s="24" t="inlineStr">
        <is>
          <t>O</t>
        </is>
      </c>
      <c r="AM42" s="24" t="inlineStr">
        <is>
          <t>O</t>
        </is>
      </c>
      <c r="AN42" s="24" t="inlineStr">
        <is>
          <t>O</t>
        </is>
      </c>
      <c r="AO42" s="24" t="inlineStr">
        <is>
          <t>O</t>
        </is>
      </c>
      <c r="AP42" s="24" t="inlineStr">
        <is>
          <t>O</t>
        </is>
      </c>
      <c r="AQ42" s="24" t="inlineStr">
        <is>
          <t>O</t>
        </is>
      </c>
      <c r="AR42" s="24" t="inlineStr">
        <is>
          <t>O</t>
        </is>
      </c>
      <c r="AS42" s="24" t="inlineStr">
        <is>
          <t>O</t>
        </is>
      </c>
      <c r="AT42" s="24" t="inlineStr">
        <is>
          <t>O</t>
        </is>
      </c>
      <c r="AU42" s="24" t="inlineStr">
        <is>
          <t>O</t>
        </is>
      </c>
      <c r="AV42" s="24" t="inlineStr">
        <is>
          <t>O</t>
        </is>
      </c>
      <c r="AW42" s="24" t="inlineStr">
        <is>
          <t>O</t>
        </is>
      </c>
      <c r="AX42" s="24" t="inlineStr">
        <is>
          <t>O</t>
        </is>
      </c>
      <c r="AY42" s="24" t="inlineStr">
        <is>
          <t>O</t>
        </is>
      </c>
      <c r="AZ42" s="24" t="inlineStr">
        <is>
          <t>O</t>
        </is>
      </c>
      <c r="BA42" s="24" t="inlineStr">
        <is>
          <t>O</t>
        </is>
      </c>
      <c r="BB42" s="24" t="inlineStr">
        <is>
          <t>O</t>
        </is>
      </c>
      <c r="BC42" s="24" t="inlineStr">
        <is>
          <t>O</t>
        </is>
      </c>
      <c r="BD42" s="24" t="inlineStr">
        <is>
          <t>O</t>
        </is>
      </c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</row>
    <row r="44">
      <c r="A44" s="16" t="n"/>
      <c r="B44" s="18" t="inlineStr">
        <is>
          <t>expectSuccess</t>
        </is>
      </c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</row>
    <row r="45">
      <c r="A45" s="16" t="n"/>
      <c r="B45" s="19" t="n"/>
      <c r="C45" s="19" t="n"/>
      <c r="D45" s="23" t="inlineStr">
        <is>
          <t>value per TC</t>
        </is>
      </c>
      <c r="E45" s="22" t="n"/>
      <c r="F45" s="24" t="inlineStr">
        <is>
          <t>O</t>
        </is>
      </c>
      <c r="G45" s="24" t="inlineStr">
        <is>
          <t>O</t>
        </is>
      </c>
      <c r="H45" s="24" t="inlineStr">
        <is>
          <t>O</t>
        </is>
      </c>
      <c r="I45" s="24" t="inlineStr">
        <is>
          <t>O</t>
        </is>
      </c>
      <c r="J45" s="24" t="inlineStr">
        <is>
          <t>O</t>
        </is>
      </c>
      <c r="K45" s="24" t="inlineStr">
        <is>
          <t>O</t>
        </is>
      </c>
      <c r="L45" s="24" t="inlineStr">
        <is>
          <t>O</t>
        </is>
      </c>
      <c r="M45" s="24" t="inlineStr">
        <is>
          <t>O</t>
        </is>
      </c>
      <c r="N45" s="24" t="inlineStr">
        <is>
          <t>O</t>
        </is>
      </c>
      <c r="O45" s="24" t="inlineStr">
        <is>
          <t>O</t>
        </is>
      </c>
      <c r="P45" s="24" t="inlineStr">
        <is>
          <t>O</t>
        </is>
      </c>
      <c r="Q45" s="24" t="inlineStr">
        <is>
          <t>O</t>
        </is>
      </c>
      <c r="R45" s="24" t="inlineStr">
        <is>
          <t>O</t>
        </is>
      </c>
      <c r="S45" s="24" t="inlineStr">
        <is>
          <t>O</t>
        </is>
      </c>
      <c r="T45" s="24" t="inlineStr">
        <is>
          <t>O</t>
        </is>
      </c>
      <c r="U45" s="24" t="inlineStr">
        <is>
          <t>O</t>
        </is>
      </c>
      <c r="V45" s="24" t="inlineStr">
        <is>
          <t>O</t>
        </is>
      </c>
      <c r="W45" s="24" t="inlineStr">
        <is>
          <t>O</t>
        </is>
      </c>
      <c r="X45" s="24" t="inlineStr">
        <is>
          <t>O</t>
        </is>
      </c>
      <c r="Y45" s="24" t="inlineStr">
        <is>
          <t>O</t>
        </is>
      </c>
      <c r="Z45" s="24" t="inlineStr">
        <is>
          <t>O</t>
        </is>
      </c>
      <c r="AA45" s="24" t="inlineStr">
        <is>
          <t>O</t>
        </is>
      </c>
      <c r="AB45" s="24" t="inlineStr">
        <is>
          <t>O</t>
        </is>
      </c>
      <c r="AC45" s="24" t="inlineStr">
        <is>
          <t>O</t>
        </is>
      </c>
      <c r="AD45" s="24" t="inlineStr">
        <is>
          <t>O</t>
        </is>
      </c>
      <c r="AE45" s="24" t="inlineStr">
        <is>
          <t>O</t>
        </is>
      </c>
      <c r="AF45" s="24" t="inlineStr">
        <is>
          <t>O</t>
        </is>
      </c>
      <c r="AG45" s="24" t="inlineStr">
        <is>
          <t>O</t>
        </is>
      </c>
      <c r="AH45" s="24" t="inlineStr">
        <is>
          <t>O</t>
        </is>
      </c>
      <c r="AI45" s="24" t="inlineStr">
        <is>
          <t>O</t>
        </is>
      </c>
      <c r="AJ45" s="24" t="inlineStr">
        <is>
          <t>O</t>
        </is>
      </c>
      <c r="AK45" s="24" t="inlineStr">
        <is>
          <t>O</t>
        </is>
      </c>
      <c r="AL45" s="24" t="inlineStr">
        <is>
          <t>O</t>
        </is>
      </c>
      <c r="AM45" s="24" t="inlineStr">
        <is>
          <t>O</t>
        </is>
      </c>
      <c r="AN45" s="24" t="inlineStr">
        <is>
          <t>O</t>
        </is>
      </c>
      <c r="AO45" s="24" t="inlineStr">
        <is>
          <t>O</t>
        </is>
      </c>
      <c r="AP45" s="24" t="inlineStr">
        <is>
          <t>O</t>
        </is>
      </c>
      <c r="AQ45" s="24" t="inlineStr">
        <is>
          <t>O</t>
        </is>
      </c>
      <c r="AR45" s="24" t="inlineStr">
        <is>
          <t>O</t>
        </is>
      </c>
      <c r="AS45" s="24" t="inlineStr">
        <is>
          <t>O</t>
        </is>
      </c>
      <c r="AT45" s="24" t="inlineStr">
        <is>
          <t>O</t>
        </is>
      </c>
      <c r="AU45" s="24" t="inlineStr">
        <is>
          <t>O</t>
        </is>
      </c>
      <c r="AV45" s="24" t="inlineStr">
        <is>
          <t>O</t>
        </is>
      </c>
      <c r="AW45" s="24" t="inlineStr">
        <is>
          <t>O</t>
        </is>
      </c>
      <c r="AX45" s="24" t="inlineStr">
        <is>
          <t>O</t>
        </is>
      </c>
      <c r="AY45" s="24" t="inlineStr">
        <is>
          <t>O</t>
        </is>
      </c>
      <c r="AZ45" s="24" t="inlineStr">
        <is>
          <t>O</t>
        </is>
      </c>
      <c r="BA45" s="24" t="inlineStr">
        <is>
          <t>O</t>
        </is>
      </c>
      <c r="BB45" s="24" t="inlineStr">
        <is>
          <t>O</t>
        </is>
      </c>
      <c r="BC45" s="24" t="inlineStr">
        <is>
          <t>O</t>
        </is>
      </c>
      <c r="BD45" s="24" t="inlineStr">
        <is>
          <t>O</t>
        </is>
      </c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</row>
    <row r="47">
      <c r="A47" s="16" t="n"/>
      <c r="B47" s="18" t="inlineStr">
        <is>
          <t>expectedErrorMessage</t>
        </is>
      </c>
      <c r="C47" s="19" t="n"/>
      <c r="D47" s="19" t="n"/>
      <c r="E47" s="22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</row>
    <row r="48">
      <c r="A48" s="16" t="n"/>
      <c r="B48" s="19" t="n"/>
      <c r="C48" s="19" t="n"/>
      <c r="D48" s="23" t="inlineStr">
        <is>
          <t>value per TC</t>
        </is>
      </c>
      <c r="E48" s="22" t="n"/>
      <c r="F48" s="24" t="inlineStr">
        <is>
          <t>O</t>
        </is>
      </c>
      <c r="G48" s="24" t="inlineStr">
        <is>
          <t>O</t>
        </is>
      </c>
      <c r="H48" s="24" t="inlineStr">
        <is>
          <t>O</t>
        </is>
      </c>
      <c r="I48" s="24" t="inlineStr">
        <is>
          <t>O</t>
        </is>
      </c>
      <c r="J48" s="24" t="inlineStr">
        <is>
          <t>O</t>
        </is>
      </c>
      <c r="K48" s="24" t="inlineStr">
        <is>
          <t>O</t>
        </is>
      </c>
      <c r="L48" s="24" t="inlineStr">
        <is>
          <t>O</t>
        </is>
      </c>
      <c r="M48" s="24" t="inlineStr">
        <is>
          <t>O</t>
        </is>
      </c>
      <c r="N48" s="24" t="inlineStr">
        <is>
          <t>O</t>
        </is>
      </c>
      <c r="O48" s="24" t="inlineStr">
        <is>
          <t>O</t>
        </is>
      </c>
      <c r="P48" s="24" t="inlineStr">
        <is>
          <t>O</t>
        </is>
      </c>
      <c r="Q48" s="24" t="inlineStr">
        <is>
          <t>O</t>
        </is>
      </c>
      <c r="R48" s="24" t="inlineStr">
        <is>
          <t>O</t>
        </is>
      </c>
      <c r="S48" s="24" t="inlineStr">
        <is>
          <t>O</t>
        </is>
      </c>
      <c r="T48" s="24" t="inlineStr">
        <is>
          <t>O</t>
        </is>
      </c>
      <c r="U48" s="24" t="inlineStr">
        <is>
          <t>O</t>
        </is>
      </c>
      <c r="V48" s="24" t="inlineStr">
        <is>
          <t>O</t>
        </is>
      </c>
      <c r="W48" s="24" t="inlineStr">
        <is>
          <t>O</t>
        </is>
      </c>
      <c r="X48" s="24" t="inlineStr">
        <is>
          <t>O</t>
        </is>
      </c>
      <c r="Y48" s="24" t="inlineStr">
        <is>
          <t>O</t>
        </is>
      </c>
      <c r="Z48" s="24" t="inlineStr">
        <is>
          <t>O</t>
        </is>
      </c>
      <c r="AA48" s="24" t="inlineStr">
        <is>
          <t>O</t>
        </is>
      </c>
      <c r="AB48" s="24" t="inlineStr">
        <is>
          <t>O</t>
        </is>
      </c>
      <c r="AC48" s="24" t="inlineStr">
        <is>
          <t>O</t>
        </is>
      </c>
      <c r="AD48" s="24" t="inlineStr">
        <is>
          <t>O</t>
        </is>
      </c>
      <c r="AE48" s="24" t="inlineStr">
        <is>
          <t>O</t>
        </is>
      </c>
      <c r="AF48" s="24" t="inlineStr">
        <is>
          <t>O</t>
        </is>
      </c>
      <c r="AG48" s="24" t="inlineStr">
        <is>
          <t>O</t>
        </is>
      </c>
      <c r="AH48" s="24" t="inlineStr">
        <is>
          <t>O</t>
        </is>
      </c>
      <c r="AI48" s="24" t="inlineStr">
        <is>
          <t>O</t>
        </is>
      </c>
      <c r="AJ48" s="24" t="inlineStr">
        <is>
          <t>O</t>
        </is>
      </c>
      <c r="AK48" s="24" t="inlineStr">
        <is>
          <t>O</t>
        </is>
      </c>
      <c r="AL48" s="24" t="inlineStr">
        <is>
          <t>O</t>
        </is>
      </c>
      <c r="AM48" s="24" t="inlineStr">
        <is>
          <t>O</t>
        </is>
      </c>
      <c r="AN48" s="24" t="inlineStr">
        <is>
          <t>O</t>
        </is>
      </c>
      <c r="AO48" s="24" t="inlineStr">
        <is>
          <t>O</t>
        </is>
      </c>
      <c r="AP48" s="24" t="inlineStr">
        <is>
          <t>O</t>
        </is>
      </c>
      <c r="AQ48" s="24" t="inlineStr">
        <is>
          <t>O</t>
        </is>
      </c>
      <c r="AR48" s="24" t="inlineStr">
        <is>
          <t>O</t>
        </is>
      </c>
      <c r="AS48" s="24" t="inlineStr">
        <is>
          <t>O</t>
        </is>
      </c>
      <c r="AT48" s="24" t="inlineStr">
        <is>
          <t>O</t>
        </is>
      </c>
      <c r="AU48" s="24" t="inlineStr">
        <is>
          <t>O</t>
        </is>
      </c>
      <c r="AV48" s="24" t="inlineStr">
        <is>
          <t>O</t>
        </is>
      </c>
      <c r="AW48" s="24" t="inlineStr">
        <is>
          <t>O</t>
        </is>
      </c>
      <c r="AX48" s="24" t="inlineStr">
        <is>
          <t>O</t>
        </is>
      </c>
      <c r="AY48" s="24" t="inlineStr">
        <is>
          <t>O</t>
        </is>
      </c>
      <c r="AZ48" s="24" t="inlineStr">
        <is>
          <t>O</t>
        </is>
      </c>
      <c r="BA48" s="24" t="inlineStr">
        <is>
          <t>O</t>
        </is>
      </c>
      <c r="BB48" s="24" t="inlineStr">
        <is>
          <t>O</t>
        </is>
      </c>
      <c r="BC48" s="24" t="inlineStr">
        <is>
          <t>O</t>
        </is>
      </c>
      <c r="BD48" s="24" t="inlineStr">
        <is>
          <t>O</t>
        </is>
      </c>
    </row>
    <row r="49">
      <c r="A49" s="16" t="n"/>
      <c r="B49" s="19" t="n"/>
      <c r="C49" s="19" t="n"/>
      <c r="D49" s="19" t="n"/>
      <c r="E49" s="2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</row>
    <row r="51">
      <c r="A51" s="15" t="inlineStr">
        <is>
          <t>Confirm</t>
        </is>
      </c>
      <c r="B51" s="18" t="inlineStr">
        <is>
          <t>Return</t>
        </is>
      </c>
      <c r="C51" s="19" t="n"/>
      <c r="D51" s="19" t="n"/>
      <c r="E51" s="22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</row>
    <row r="52">
      <c r="A52" s="16" t="n"/>
      <c r="B52" s="19" t="n"/>
      <c r="C52" s="19" t="n"/>
      <c r="D52" s="23" t="inlineStr">
        <is>
          <t>Assertion verified</t>
        </is>
      </c>
      <c r="E52" s="22" t="n"/>
      <c r="F52" s="24" t="inlineStr">
        <is>
          <t>O</t>
        </is>
      </c>
      <c r="G52" s="24" t="inlineStr">
        <is>
          <t>O</t>
        </is>
      </c>
      <c r="H52" s="24" t="inlineStr">
        <is>
          <t>O</t>
        </is>
      </c>
      <c r="I52" s="24" t="inlineStr">
        <is>
          <t>O</t>
        </is>
      </c>
      <c r="J52" s="24" t="inlineStr">
        <is>
          <t>O</t>
        </is>
      </c>
      <c r="K52" s="24" t="inlineStr">
        <is>
          <t>O</t>
        </is>
      </c>
      <c r="L52" s="24" t="inlineStr">
        <is>
          <t>O</t>
        </is>
      </c>
      <c r="M52" s="24" t="inlineStr">
        <is>
          <t>O</t>
        </is>
      </c>
      <c r="N52" s="24" t="inlineStr">
        <is>
          <t>O</t>
        </is>
      </c>
      <c r="O52" s="24" t="inlineStr">
        <is>
          <t>O</t>
        </is>
      </c>
      <c r="P52" s="24" t="inlineStr">
        <is>
          <t>O</t>
        </is>
      </c>
      <c r="Q52" s="24" t="inlineStr">
        <is>
          <t>O</t>
        </is>
      </c>
      <c r="R52" s="24" t="inlineStr">
        <is>
          <t>O</t>
        </is>
      </c>
      <c r="S52" s="24" t="inlineStr">
        <is>
          <t>O</t>
        </is>
      </c>
      <c r="T52" s="24" t="inlineStr">
        <is>
          <t>O</t>
        </is>
      </c>
      <c r="U52" s="24" t="inlineStr">
        <is>
          <t>O</t>
        </is>
      </c>
      <c r="V52" s="24" t="inlineStr">
        <is>
          <t>O</t>
        </is>
      </c>
      <c r="W52" s="24" t="inlineStr">
        <is>
          <t>O</t>
        </is>
      </c>
      <c r="X52" s="24" t="inlineStr">
        <is>
          <t>O</t>
        </is>
      </c>
      <c r="Y52" s="24" t="inlineStr">
        <is>
          <t>O</t>
        </is>
      </c>
      <c r="Z52" s="24" t="inlineStr">
        <is>
          <t>O</t>
        </is>
      </c>
      <c r="AA52" s="24" t="inlineStr">
        <is>
          <t>O</t>
        </is>
      </c>
      <c r="AB52" s="24" t="inlineStr">
        <is>
          <t>O</t>
        </is>
      </c>
      <c r="AC52" s="24" t="inlineStr">
        <is>
          <t>O</t>
        </is>
      </c>
      <c r="AD52" s="24" t="inlineStr">
        <is>
          <t>O</t>
        </is>
      </c>
      <c r="AE52" s="24" t="inlineStr">
        <is>
          <t>O</t>
        </is>
      </c>
      <c r="AF52" s="24" t="inlineStr">
        <is>
          <t>O</t>
        </is>
      </c>
      <c r="AG52" s="24" t="inlineStr">
        <is>
          <t>O</t>
        </is>
      </c>
      <c r="AH52" s="24" t="inlineStr">
        <is>
          <t>O</t>
        </is>
      </c>
      <c r="AI52" s="24" t="inlineStr">
        <is>
          <t>O</t>
        </is>
      </c>
      <c r="AJ52" s="24" t="inlineStr">
        <is>
          <t>O</t>
        </is>
      </c>
      <c r="AK52" s="24" t="inlineStr">
        <is>
          <t>O</t>
        </is>
      </c>
      <c r="AL52" s="24" t="inlineStr">
        <is>
          <t>O</t>
        </is>
      </c>
      <c r="AM52" s="24" t="inlineStr">
        <is>
          <t>O</t>
        </is>
      </c>
      <c r="AN52" s="24" t="inlineStr">
        <is>
          <t>O</t>
        </is>
      </c>
      <c r="AO52" s="24" t="inlineStr">
        <is>
          <t>O</t>
        </is>
      </c>
      <c r="AP52" s="24" t="inlineStr">
        <is>
          <t>O</t>
        </is>
      </c>
      <c r="AQ52" s="24" t="inlineStr">
        <is>
          <t>O</t>
        </is>
      </c>
      <c r="AR52" s="24" t="inlineStr">
        <is>
          <t>O</t>
        </is>
      </c>
      <c r="AS52" s="24" t="inlineStr">
        <is>
          <t>O</t>
        </is>
      </c>
      <c r="AT52" s="24" t="inlineStr">
        <is>
          <t>O</t>
        </is>
      </c>
      <c r="AU52" s="24" t="inlineStr">
        <is>
          <t>O</t>
        </is>
      </c>
      <c r="AV52" s="24" t="inlineStr">
        <is>
          <t>O</t>
        </is>
      </c>
      <c r="AW52" s="24" t="inlineStr">
        <is>
          <t>O</t>
        </is>
      </c>
      <c r="AX52" s="24" t="inlineStr">
        <is>
          <t>O</t>
        </is>
      </c>
      <c r="AY52" s="24" t="inlineStr">
        <is>
          <t>O</t>
        </is>
      </c>
      <c r="AZ52" s="24" t="inlineStr">
        <is>
          <t>O</t>
        </is>
      </c>
      <c r="BA52" s="24" t="inlineStr">
        <is>
          <t>O</t>
        </is>
      </c>
      <c r="BB52" s="24" t="inlineStr">
        <is>
          <t>O</t>
        </is>
      </c>
      <c r="BC52" s="24" t="inlineStr">
        <is>
          <t>O</t>
        </is>
      </c>
      <c r="BD52" s="24" t="inlineStr">
        <is>
          <t>O</t>
        </is>
      </c>
    </row>
    <row r="53">
      <c r="A53" s="16" t="n"/>
      <c r="B53" s="19" t="n"/>
      <c r="C53" s="19" t="n"/>
      <c r="D53" s="19" t="n"/>
      <c r="E53" s="22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</row>
    <row r="54">
      <c r="A54" s="16" t="n"/>
      <c r="B54" s="18" t="inlineStr">
        <is>
          <t>Exception</t>
        </is>
      </c>
      <c r="C54" s="19" t="n"/>
      <c r="D54" s="19" t="n"/>
      <c r="E54" s="22" t="n"/>
      <c r="F54" s="24" t="inlineStr">
        <is>
          <t>O</t>
        </is>
      </c>
      <c r="G54" s="24" t="inlineStr">
        <is>
          <t>O</t>
        </is>
      </c>
      <c r="H54" s="24" t="inlineStr">
        <is>
          <t>O</t>
        </is>
      </c>
      <c r="I54" s="24" t="inlineStr">
        <is>
          <t>O</t>
        </is>
      </c>
      <c r="J54" s="24" t="inlineStr">
        <is>
          <t>O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</row>
    <row r="55">
      <c r="A55" s="16" t="n"/>
      <c r="B55" s="19" t="n"/>
      <c r="C55" s="19" t="n"/>
      <c r="D55" s="19" t="n"/>
      <c r="E55" s="22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</row>
    <row r="56">
      <c r="A56" s="16" t="n"/>
      <c r="B56" s="18" t="inlineStr">
        <is>
          <t>Log message</t>
        </is>
      </c>
      <c r="C56" s="19" t="n"/>
      <c r="D56" s="19" t="n"/>
      <c r="E56" s="22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</row>
    <row r="57">
      <c r="A57" s="16" t="n"/>
      <c r="B57" s="19" t="n"/>
      <c r="C57" s="19" t="n"/>
      <c r="D57" s="19" t="n"/>
      <c r="E57" s="22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</row>
    <row r="58">
      <c r="A58" s="16" t="n"/>
      <c r="B58" s="19" t="n"/>
      <c r="C58" s="19" t="n"/>
      <c r="D58" s="19" t="n"/>
      <c r="E58" s="22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</row>
    <row r="59">
      <c r="A59" s="15" t="inlineStr">
        <is>
          <t>Result</t>
        </is>
      </c>
      <c r="B59" s="17" t="inlineStr">
        <is>
          <t>Type(N : Normal, A : Abnormal, B : Boundary)</t>
        </is>
      </c>
      <c r="C59" s="4" t="n"/>
      <c r="D59" s="4" t="n"/>
      <c r="E59" s="4" t="n"/>
      <c r="F59" s="25" t="inlineStr">
        <is>
          <t>A</t>
        </is>
      </c>
      <c r="G59" s="25" t="inlineStr">
        <is>
          <t>A</t>
        </is>
      </c>
      <c r="H59" s="25" t="inlineStr">
        <is>
          <t>A</t>
        </is>
      </c>
      <c r="I59" s="25" t="inlineStr">
        <is>
          <t>A</t>
        </is>
      </c>
      <c r="J59" s="25" t="inlineStr">
        <is>
          <t>A</t>
        </is>
      </c>
      <c r="K59" s="25" t="inlineStr">
        <is>
          <t>N</t>
        </is>
      </c>
      <c r="L59" s="25" t="inlineStr">
        <is>
          <t>N</t>
        </is>
      </c>
      <c r="M59" s="25" t="inlineStr">
        <is>
          <t>N</t>
        </is>
      </c>
      <c r="N59" s="25" t="inlineStr">
        <is>
          <t>N</t>
        </is>
      </c>
      <c r="O59" s="25" t="inlineStr">
        <is>
          <t>N</t>
        </is>
      </c>
      <c r="P59" s="25" t="inlineStr">
        <is>
          <t>N</t>
        </is>
      </c>
      <c r="Q59" s="25" t="inlineStr">
        <is>
          <t>N</t>
        </is>
      </c>
      <c r="R59" s="25" t="inlineStr">
        <is>
          <t>N</t>
        </is>
      </c>
      <c r="S59" s="25" t="inlineStr">
        <is>
          <t>N</t>
        </is>
      </c>
      <c r="T59" s="25" t="inlineStr">
        <is>
          <t>N</t>
        </is>
      </c>
      <c r="U59" s="25" t="inlineStr">
        <is>
          <t>N</t>
        </is>
      </c>
      <c r="V59" s="25" t="inlineStr">
        <is>
          <t>N</t>
        </is>
      </c>
      <c r="W59" s="25" t="inlineStr">
        <is>
          <t>N</t>
        </is>
      </c>
      <c r="X59" s="25" t="inlineStr">
        <is>
          <t>N</t>
        </is>
      </c>
      <c r="Y59" s="25" t="inlineStr">
        <is>
          <t>N</t>
        </is>
      </c>
      <c r="Z59" s="25" t="inlineStr">
        <is>
          <t>N</t>
        </is>
      </c>
      <c r="AA59" s="25" t="inlineStr">
        <is>
          <t>N</t>
        </is>
      </c>
      <c r="AB59" s="25" t="inlineStr">
        <is>
          <t>N</t>
        </is>
      </c>
      <c r="AC59" s="25" t="inlineStr">
        <is>
          <t>N</t>
        </is>
      </c>
      <c r="AD59" s="25" t="inlineStr">
        <is>
          <t>N</t>
        </is>
      </c>
      <c r="AE59" s="25" t="inlineStr">
        <is>
          <t>N</t>
        </is>
      </c>
      <c r="AF59" s="25" t="inlineStr">
        <is>
          <t>N</t>
        </is>
      </c>
      <c r="AG59" s="25" t="inlineStr">
        <is>
          <t>N</t>
        </is>
      </c>
      <c r="AH59" s="25" t="inlineStr">
        <is>
          <t>N</t>
        </is>
      </c>
      <c r="AI59" s="25" t="inlineStr">
        <is>
          <t>N</t>
        </is>
      </c>
      <c r="AJ59" s="25" t="inlineStr">
        <is>
          <t>N</t>
        </is>
      </c>
      <c r="AK59" s="25" t="inlineStr">
        <is>
          <t>N</t>
        </is>
      </c>
      <c r="AL59" s="25" t="inlineStr">
        <is>
          <t>N</t>
        </is>
      </c>
      <c r="AM59" s="25" t="inlineStr">
        <is>
          <t>N</t>
        </is>
      </c>
      <c r="AN59" s="25" t="inlineStr">
        <is>
          <t>N</t>
        </is>
      </c>
      <c r="AO59" s="25" t="inlineStr">
        <is>
          <t>N</t>
        </is>
      </c>
      <c r="AP59" s="25" t="inlineStr">
        <is>
          <t>N</t>
        </is>
      </c>
      <c r="AQ59" s="25" t="inlineStr">
        <is>
          <t>N</t>
        </is>
      </c>
      <c r="AR59" s="25" t="inlineStr">
        <is>
          <t>N</t>
        </is>
      </c>
      <c r="AS59" s="25" t="inlineStr">
        <is>
          <t>N</t>
        </is>
      </c>
      <c r="AT59" s="25" t="inlineStr">
        <is>
          <t>N</t>
        </is>
      </c>
      <c r="AU59" s="25" t="inlineStr">
        <is>
          <t>N</t>
        </is>
      </c>
      <c r="AV59" s="25" t="inlineStr">
        <is>
          <t>N</t>
        </is>
      </c>
      <c r="AW59" s="25" t="inlineStr">
        <is>
          <t>N</t>
        </is>
      </c>
      <c r="AX59" s="25" t="inlineStr">
        <is>
          <t>N</t>
        </is>
      </c>
      <c r="AY59" s="25" t="inlineStr">
        <is>
          <t>N</t>
        </is>
      </c>
      <c r="AZ59" s="25" t="inlineStr">
        <is>
          <t>N</t>
        </is>
      </c>
      <c r="BA59" s="25" t="inlineStr">
        <is>
          <t>N</t>
        </is>
      </c>
      <c r="BB59" s="25" t="inlineStr">
        <is>
          <t>N</t>
        </is>
      </c>
      <c r="BC59" s="25" t="inlineStr">
        <is>
          <t>N</t>
        </is>
      </c>
      <c r="BD59" s="25" t="inlineStr">
        <is>
          <t>N</t>
        </is>
      </c>
    </row>
    <row r="60">
      <c r="A60" s="16" t="n"/>
      <c r="B60" s="17" t="inlineStr">
        <is>
          <t>Passed/Failed</t>
        </is>
      </c>
      <c r="C60" s="4" t="n"/>
      <c r="D60" s="4" t="n"/>
      <c r="E60" s="4" t="n"/>
      <c r="F60" s="25" t="inlineStr">
        <is>
          <t>P</t>
        </is>
      </c>
      <c r="G60" s="25" t="inlineStr">
        <is>
          <t>P</t>
        </is>
      </c>
      <c r="H60" s="25" t="inlineStr">
        <is>
          <t>P</t>
        </is>
      </c>
      <c r="I60" s="25" t="inlineStr">
        <is>
          <t>P</t>
        </is>
      </c>
      <c r="J60" s="25" t="inlineStr">
        <is>
          <t>P</t>
        </is>
      </c>
      <c r="K60" s="25" t="inlineStr">
        <is>
          <t>P</t>
        </is>
      </c>
      <c r="L60" s="25" t="inlineStr">
        <is>
          <t>P</t>
        </is>
      </c>
      <c r="M60" s="25" t="inlineStr">
        <is>
          <t>P</t>
        </is>
      </c>
      <c r="N60" s="25" t="inlineStr">
        <is>
          <t>P</t>
        </is>
      </c>
      <c r="O60" s="25" t="inlineStr">
        <is>
          <t>P</t>
        </is>
      </c>
      <c r="P60" s="25" t="inlineStr">
        <is>
          <t>P</t>
        </is>
      </c>
      <c r="Q60" s="25" t="inlineStr">
        <is>
          <t>P</t>
        </is>
      </c>
      <c r="R60" s="25" t="inlineStr">
        <is>
          <t>P</t>
        </is>
      </c>
      <c r="S60" s="25" t="inlineStr">
        <is>
          <t>P</t>
        </is>
      </c>
      <c r="T60" s="25" t="inlineStr">
        <is>
          <t>P</t>
        </is>
      </c>
      <c r="U60" s="25" t="inlineStr">
        <is>
          <t>P</t>
        </is>
      </c>
      <c r="V60" s="25" t="inlineStr">
        <is>
          <t>P</t>
        </is>
      </c>
      <c r="W60" s="25" t="inlineStr">
        <is>
          <t>P</t>
        </is>
      </c>
      <c r="X60" s="25" t="inlineStr">
        <is>
          <t>P</t>
        </is>
      </c>
      <c r="Y60" s="25" t="inlineStr">
        <is>
          <t>P</t>
        </is>
      </c>
      <c r="Z60" s="25" t="inlineStr">
        <is>
          <t>P</t>
        </is>
      </c>
      <c r="AA60" s="25" t="inlineStr">
        <is>
          <t>P</t>
        </is>
      </c>
      <c r="AB60" s="25" t="inlineStr">
        <is>
          <t>P</t>
        </is>
      </c>
      <c r="AC60" s="25" t="inlineStr">
        <is>
          <t>P</t>
        </is>
      </c>
      <c r="AD60" s="25" t="inlineStr">
        <is>
          <t>P</t>
        </is>
      </c>
      <c r="AE60" s="25" t="inlineStr">
        <is>
          <t>P</t>
        </is>
      </c>
      <c r="AF60" s="25" t="inlineStr">
        <is>
          <t>P</t>
        </is>
      </c>
      <c r="AG60" s="25" t="inlineStr">
        <is>
          <t>P</t>
        </is>
      </c>
      <c r="AH60" s="25" t="inlineStr">
        <is>
          <t>P</t>
        </is>
      </c>
      <c r="AI60" s="25" t="inlineStr">
        <is>
          <t>P</t>
        </is>
      </c>
      <c r="AJ60" s="25" t="inlineStr">
        <is>
          <t>P</t>
        </is>
      </c>
      <c r="AK60" s="25" t="inlineStr">
        <is>
          <t>P</t>
        </is>
      </c>
      <c r="AL60" s="25" t="inlineStr">
        <is>
          <t>P</t>
        </is>
      </c>
      <c r="AM60" s="25" t="inlineStr">
        <is>
          <t>P</t>
        </is>
      </c>
      <c r="AN60" s="25" t="inlineStr">
        <is>
          <t>P</t>
        </is>
      </c>
      <c r="AO60" s="25" t="inlineStr">
        <is>
          <t>P</t>
        </is>
      </c>
      <c r="AP60" s="25" t="inlineStr">
        <is>
          <t>P</t>
        </is>
      </c>
      <c r="AQ60" s="25" t="inlineStr">
        <is>
          <t>P</t>
        </is>
      </c>
      <c r="AR60" s="25" t="inlineStr">
        <is>
          <t>P</t>
        </is>
      </c>
      <c r="AS60" s="25" t="inlineStr">
        <is>
          <t>P</t>
        </is>
      </c>
      <c r="AT60" s="25" t="inlineStr">
        <is>
          <t>P</t>
        </is>
      </c>
      <c r="AU60" s="25" t="inlineStr">
        <is>
          <t>P</t>
        </is>
      </c>
      <c r="AV60" s="25" t="inlineStr">
        <is>
          <t>P</t>
        </is>
      </c>
      <c r="AW60" s="25" t="inlineStr">
        <is>
          <t>P</t>
        </is>
      </c>
      <c r="AX60" s="25" t="inlineStr">
        <is>
          <t>P</t>
        </is>
      </c>
      <c r="AY60" s="25" t="inlineStr">
        <is>
          <t>P</t>
        </is>
      </c>
      <c r="AZ60" s="25" t="inlineStr">
        <is>
          <t>P</t>
        </is>
      </c>
      <c r="BA60" s="25" t="inlineStr">
        <is>
          <t>P</t>
        </is>
      </c>
      <c r="BB60" s="25" t="inlineStr">
        <is>
          <t>P</t>
        </is>
      </c>
      <c r="BC60" s="25" t="inlineStr">
        <is>
          <t>P</t>
        </is>
      </c>
      <c r="BD60" s="25" t="inlineStr">
        <is>
          <t>P</t>
        </is>
      </c>
    </row>
    <row r="61">
      <c r="A61" s="16" t="n"/>
      <c r="B61" s="17" t="inlineStr">
        <is>
          <t>Executed Date</t>
        </is>
      </c>
      <c r="C61" s="4" t="n"/>
      <c r="D61" s="4" t="n"/>
      <c r="E61" s="4" t="n"/>
      <c r="F61" s="26" t="n">
        <v>46215</v>
      </c>
      <c r="G61" s="26" t="n">
        <v>46215</v>
      </c>
      <c r="H61" s="26" t="n">
        <v>46215</v>
      </c>
      <c r="I61" s="26" t="n">
        <v>46215</v>
      </c>
      <c r="J61" s="26" t="n">
        <v>46215</v>
      </c>
      <c r="K61" s="26" t="n">
        <v>46215</v>
      </c>
      <c r="L61" s="26" t="n">
        <v>46215</v>
      </c>
      <c r="M61" s="26" t="n">
        <v>46215</v>
      </c>
      <c r="N61" s="26" t="n">
        <v>46215</v>
      </c>
      <c r="O61" s="26" t="n">
        <v>46215</v>
      </c>
      <c r="P61" s="26" t="n">
        <v>46215</v>
      </c>
      <c r="Q61" s="26" t="n">
        <v>46215</v>
      </c>
      <c r="R61" s="26" t="n">
        <v>46215</v>
      </c>
      <c r="S61" s="26" t="n">
        <v>46215</v>
      </c>
      <c r="T61" s="26" t="n">
        <v>46215</v>
      </c>
      <c r="U61" s="26" t="n">
        <v>46215</v>
      </c>
      <c r="V61" s="26" t="n">
        <v>46215</v>
      </c>
      <c r="W61" s="26" t="n">
        <v>46215</v>
      </c>
      <c r="X61" s="26" t="n">
        <v>46215</v>
      </c>
      <c r="Y61" s="26" t="n">
        <v>46215</v>
      </c>
      <c r="Z61" s="26" t="n">
        <v>46215</v>
      </c>
      <c r="AA61" s="26" t="n">
        <v>46215</v>
      </c>
      <c r="AB61" s="26" t="n">
        <v>46215</v>
      </c>
      <c r="AC61" s="26" t="n">
        <v>46215</v>
      </c>
      <c r="AD61" s="26" t="n">
        <v>46215</v>
      </c>
      <c r="AE61" s="26" t="n">
        <v>46215</v>
      </c>
      <c r="AF61" s="26" t="n">
        <v>46215</v>
      </c>
      <c r="AG61" s="26" t="n">
        <v>46215</v>
      </c>
      <c r="AH61" s="26" t="n">
        <v>46215</v>
      </c>
      <c r="AI61" s="26" t="n">
        <v>46215</v>
      </c>
      <c r="AJ61" s="26" t="n">
        <v>46215</v>
      </c>
      <c r="AK61" s="26" t="n">
        <v>46215</v>
      </c>
      <c r="AL61" s="26" t="n">
        <v>46215</v>
      </c>
      <c r="AM61" s="26" t="n">
        <v>46215</v>
      </c>
      <c r="AN61" s="26" t="n">
        <v>46215</v>
      </c>
      <c r="AO61" s="26" t="n">
        <v>46215</v>
      </c>
      <c r="AP61" s="26" t="n">
        <v>46215</v>
      </c>
      <c r="AQ61" s="26" t="n">
        <v>46215</v>
      </c>
      <c r="AR61" s="26" t="n">
        <v>46215</v>
      </c>
      <c r="AS61" s="26" t="n">
        <v>46215</v>
      </c>
      <c r="AT61" s="26" t="n">
        <v>46215</v>
      </c>
      <c r="AU61" s="26" t="n">
        <v>46215</v>
      </c>
      <c r="AV61" s="26" t="n">
        <v>46215</v>
      </c>
      <c r="AW61" s="26" t="n">
        <v>46215</v>
      </c>
      <c r="AX61" s="26" t="n">
        <v>46215</v>
      </c>
      <c r="AY61" s="26" t="n">
        <v>46215</v>
      </c>
      <c r="AZ61" s="26" t="n">
        <v>46215</v>
      </c>
      <c r="BA61" s="26" t="n">
        <v>46215</v>
      </c>
      <c r="BB61" s="26" t="n">
        <v>46215</v>
      </c>
      <c r="BC61" s="26" t="n">
        <v>46215</v>
      </c>
      <c r="BD61" s="26" t="n">
        <v>46215</v>
      </c>
    </row>
    <row r="62">
      <c r="A62" s="16" t="n"/>
      <c r="B62" s="17" t="inlineStr">
        <is>
          <t>Defect ID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</row>
  </sheetData>
  <mergeCells count="27">
    <mergeCell ref="C5:BD5"/>
    <mergeCell ref="F2:K2"/>
    <mergeCell ref="A6:B6"/>
    <mergeCell ref="C4:D4"/>
    <mergeCell ref="C2:E2"/>
    <mergeCell ref="A7:B7"/>
    <mergeCell ref="B62:E62"/>
    <mergeCell ref="L4:BD4"/>
    <mergeCell ref="B59:E59"/>
    <mergeCell ref="C7:E7"/>
    <mergeCell ref="L6:N6"/>
    <mergeCell ref="A3:B3"/>
    <mergeCell ref="A2:B2"/>
    <mergeCell ref="A5:B5"/>
    <mergeCell ref="C3:E3"/>
    <mergeCell ref="F4:K4"/>
    <mergeCell ref="C6:E6"/>
    <mergeCell ref="B60:E60"/>
    <mergeCell ref="A4:B4"/>
    <mergeCell ref="B61:E61"/>
    <mergeCell ref="F6:K6"/>
    <mergeCell ref="O7:BD7"/>
    <mergeCell ref="F7:K7"/>
    <mergeCell ref="L2:BD2"/>
    <mergeCell ref="L3:N3"/>
    <mergeCell ref="F3:K3"/>
    <mergeCell ref="O6:BD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Z5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2">
      <c r="A2" s="15" t="inlineStr">
        <is>
          <t>Function Code</t>
        </is>
      </c>
      <c r="B2" s="16" t="n"/>
      <c r="C2" s="17" t="inlineStr">
        <is>
          <t>F6SystemServletTest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F6SystemServlet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5" t="inlineStr">
        <is>
          <t>Lines  of code</t>
        </is>
      </c>
      <c r="B4" s="16" t="n"/>
      <c r="C4" s="17" t="n">
        <v>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5" t="inlineStr">
        <is>
          <t>Test requirement</t>
        </is>
      </c>
      <c r="B5" s="16" t="n"/>
      <c r="C5" s="17" t="inlineStr">
        <is>
          <t>Unit test for F6SystemServlet (f6)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20">
        <f>COUNTIF(F54:Z54,"P")</f>
        <v/>
      </c>
      <c r="B7" s="4" t="n"/>
      <c r="C7" s="20">
        <f>COUNTIF(F54:Z54,"F")</f>
        <v/>
      </c>
      <c r="D7" s="4" t="n"/>
      <c r="E7" s="4" t="n"/>
      <c r="F7" s="20">
        <f>21-A7-C7</f>
        <v/>
      </c>
      <c r="G7" s="4" t="n"/>
      <c r="H7" s="4" t="n"/>
      <c r="I7" s="4" t="n"/>
      <c r="J7" s="4" t="n"/>
      <c r="K7" s="4" t="n"/>
      <c r="L7" s="17">
        <f>COUNTIF(F53:Z53,"N")</f>
        <v/>
      </c>
      <c r="M7" s="17">
        <f>COUNTIF(F53:Z53,"A")</f>
        <v/>
      </c>
      <c r="N7" s="17">
        <f>COUNTIF(F53:Z53,"B")</f>
        <v/>
      </c>
      <c r="O7" s="20" t="n">
        <v>21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6" t="n"/>
      <c r="B17" s="18" t="inlineStr">
        <is>
          <t>servletType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6" t="n"/>
      <c r="B20" s="18" t="inlineStr">
        <is>
          <t>Map&lt;String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16" t="n"/>
      <c r="B23" s="18" t="inlineStr">
        <is>
          <t>requestParams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16" t="n"/>
      <c r="B26" s="18" t="inlineStr">
        <is>
          <t>Map&lt;String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16" t="n"/>
      <c r="B29" s="18" t="inlineStr">
        <is>
          <t>sessionAttributes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16" t="n"/>
      <c r="B32" s="18" t="inlineStr">
        <is>
          <t>Map&lt;String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16" t="n"/>
      <c r="B35" s="18" t="inlineStr">
        <is>
          <t>List&lt;Map&lt;String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16" t="n"/>
      <c r="B38" s="18" t="inlineStr">
        <is>
          <t>dbData</t>
        </is>
      </c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16" t="n"/>
      <c r="B39" s="19" t="n"/>
      <c r="C39" s="19" t="n"/>
      <c r="D39" s="23" t="inlineStr">
        <is>
          <t>value per TC</t>
        </is>
      </c>
      <c r="E39" s="22" t="n"/>
      <c r="F39" s="24" t="inlineStr">
        <is>
          <t>O</t>
        </is>
      </c>
      <c r="G39" s="24" t="inlineStr">
        <is>
          <t>O</t>
        </is>
      </c>
      <c r="H39" s="24" t="inlineStr">
        <is>
          <t>O</t>
        </is>
      </c>
      <c r="I39" s="24" t="inlineStr">
        <is>
          <t>O</t>
        </is>
      </c>
      <c r="J39" s="24" t="inlineStr">
        <is>
          <t>O</t>
        </is>
      </c>
      <c r="K39" s="24" t="inlineStr">
        <is>
          <t>O</t>
        </is>
      </c>
      <c r="L39" s="24" t="inlineStr">
        <is>
          <t>O</t>
        </is>
      </c>
      <c r="M39" s="24" t="inlineStr">
        <is>
          <t>O</t>
        </is>
      </c>
      <c r="N39" s="24" t="inlineStr">
        <is>
          <t>O</t>
        </is>
      </c>
      <c r="O39" s="24" t="inlineStr">
        <is>
          <t>O</t>
        </is>
      </c>
      <c r="P39" s="24" t="inlineStr">
        <is>
          <t>O</t>
        </is>
      </c>
      <c r="Q39" s="24" t="inlineStr">
        <is>
          <t>O</t>
        </is>
      </c>
      <c r="R39" s="24" t="inlineStr">
        <is>
          <t>O</t>
        </is>
      </c>
      <c r="S39" s="24" t="inlineStr">
        <is>
          <t>O</t>
        </is>
      </c>
      <c r="T39" s="24" t="inlineStr">
        <is>
          <t>O</t>
        </is>
      </c>
      <c r="U39" s="24" t="inlineStr">
        <is>
          <t>O</t>
        </is>
      </c>
      <c r="V39" s="24" t="inlineStr">
        <is>
          <t>O</t>
        </is>
      </c>
      <c r="W39" s="24" t="inlineStr">
        <is>
          <t>O</t>
        </is>
      </c>
      <c r="X39" s="24" t="inlineStr">
        <is>
          <t>O</t>
        </is>
      </c>
      <c r="Y39" s="24" t="inlineStr">
        <is>
          <t>O</t>
        </is>
      </c>
      <c r="Z39" s="24" t="inlineStr">
        <is>
          <t>O</t>
        </is>
      </c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16" t="n"/>
      <c r="B41" s="18" t="inlineStr">
        <is>
          <t>expectSuccess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16" t="n"/>
      <c r="B42" s="19" t="n"/>
      <c r="C42" s="19" t="n"/>
      <c r="D42" s="23" t="inlineStr">
        <is>
          <t>value per TC</t>
        </is>
      </c>
      <c r="E42" s="22" t="n"/>
      <c r="F42" s="24" t="inlineStr">
        <is>
          <t>O</t>
        </is>
      </c>
      <c r="G42" s="24" t="inlineStr">
        <is>
          <t>O</t>
        </is>
      </c>
      <c r="H42" s="24" t="inlineStr">
        <is>
          <t>O</t>
        </is>
      </c>
      <c r="I42" s="24" t="inlineStr">
        <is>
          <t>O</t>
        </is>
      </c>
      <c r="J42" s="24" t="inlineStr">
        <is>
          <t>O</t>
        </is>
      </c>
      <c r="K42" s="24" t="inlineStr">
        <is>
          <t>O</t>
        </is>
      </c>
      <c r="L42" s="24" t="inlineStr">
        <is>
          <t>O</t>
        </is>
      </c>
      <c r="M42" s="24" t="inlineStr">
        <is>
          <t>O</t>
        </is>
      </c>
      <c r="N42" s="24" t="inlineStr">
        <is>
          <t>O</t>
        </is>
      </c>
      <c r="O42" s="24" t="inlineStr">
        <is>
          <t>O</t>
        </is>
      </c>
      <c r="P42" s="24" t="inlineStr">
        <is>
          <t>O</t>
        </is>
      </c>
      <c r="Q42" s="24" t="inlineStr">
        <is>
          <t>O</t>
        </is>
      </c>
      <c r="R42" s="24" t="inlineStr">
        <is>
          <t>O</t>
        </is>
      </c>
      <c r="S42" s="24" t="inlineStr">
        <is>
          <t>O</t>
        </is>
      </c>
      <c r="T42" s="24" t="inlineStr">
        <is>
          <t>O</t>
        </is>
      </c>
      <c r="U42" s="24" t="inlineStr">
        <is>
          <t>O</t>
        </is>
      </c>
      <c r="V42" s="24" t="inlineStr">
        <is>
          <t>O</t>
        </is>
      </c>
      <c r="W42" s="24" t="inlineStr">
        <is>
          <t>O</t>
        </is>
      </c>
      <c r="X42" s="24" t="inlineStr">
        <is>
          <t>O</t>
        </is>
      </c>
      <c r="Y42" s="24" t="inlineStr">
        <is>
          <t>O</t>
        </is>
      </c>
      <c r="Z42" s="24" t="inlineStr">
        <is>
          <t>O</t>
        </is>
      </c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5">
      <c r="A45" s="15" t="inlineStr">
        <is>
          <t>Confirm</t>
        </is>
      </c>
      <c r="B45" s="18" t="inlineStr">
        <is>
          <t>Return</t>
        </is>
      </c>
      <c r="C45" s="19" t="n"/>
      <c r="D45" s="19" t="n"/>
      <c r="E45" s="2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16" t="n"/>
      <c r="B46" s="19" t="n"/>
      <c r="C46" s="19" t="n"/>
      <c r="D46" s="23" t="inlineStr">
        <is>
          <t>Assertion verified</t>
        </is>
      </c>
      <c r="E46" s="22" t="n"/>
      <c r="F46" s="24" t="inlineStr">
        <is>
          <t>O</t>
        </is>
      </c>
      <c r="G46" s="24" t="inlineStr">
        <is>
          <t>O</t>
        </is>
      </c>
      <c r="H46" s="24" t="inlineStr">
        <is>
          <t>O</t>
        </is>
      </c>
      <c r="I46" s="24" t="inlineStr">
        <is>
          <t>O</t>
        </is>
      </c>
      <c r="J46" s="24" t="inlineStr">
        <is>
          <t>O</t>
        </is>
      </c>
      <c r="K46" s="24" t="inlineStr">
        <is>
          <t>O</t>
        </is>
      </c>
      <c r="L46" s="24" t="inlineStr">
        <is>
          <t>O</t>
        </is>
      </c>
      <c r="M46" s="24" t="inlineStr">
        <is>
          <t>O</t>
        </is>
      </c>
      <c r="N46" s="24" t="inlineStr">
        <is>
          <t>O</t>
        </is>
      </c>
      <c r="O46" s="24" t="inlineStr">
        <is>
          <t>O</t>
        </is>
      </c>
      <c r="P46" s="24" t="inlineStr">
        <is>
          <t>O</t>
        </is>
      </c>
      <c r="Q46" s="24" t="inlineStr">
        <is>
          <t>O</t>
        </is>
      </c>
      <c r="R46" s="24" t="inlineStr">
        <is>
          <t>O</t>
        </is>
      </c>
      <c r="S46" s="24" t="inlineStr">
        <is>
          <t>O</t>
        </is>
      </c>
      <c r="T46" s="24" t="inlineStr">
        <is>
          <t>O</t>
        </is>
      </c>
      <c r="U46" s="24" t="inlineStr">
        <is>
          <t>O</t>
        </is>
      </c>
      <c r="V46" s="24" t="inlineStr">
        <is>
          <t>O</t>
        </is>
      </c>
      <c r="W46" s="24" t="inlineStr">
        <is>
          <t>O</t>
        </is>
      </c>
      <c r="X46" s="24" t="inlineStr">
        <is>
          <t>O</t>
        </is>
      </c>
      <c r="Y46" s="24" t="inlineStr">
        <is>
          <t>O</t>
        </is>
      </c>
      <c r="Z46" s="24" t="inlineStr">
        <is>
          <t>O</t>
        </is>
      </c>
    </row>
    <row r="47">
      <c r="A47" s="16" t="n"/>
      <c r="B47" s="19" t="n"/>
      <c r="C47" s="19" t="n"/>
      <c r="D47" s="19" t="n"/>
      <c r="E47" s="22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16" t="n"/>
      <c r="B48" s="18" t="inlineStr">
        <is>
          <t>Exception</t>
        </is>
      </c>
      <c r="C48" s="19" t="n"/>
      <c r="D48" s="19" t="n"/>
      <c r="E48" s="22" t="n"/>
      <c r="F48" s="24" t="inlineStr">
        <is>
          <t>O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16" t="n"/>
      <c r="B49" s="19" t="n"/>
      <c r="C49" s="19" t="n"/>
      <c r="D49" s="19" t="n"/>
      <c r="E49" s="2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16" t="n"/>
      <c r="B50" s="18" t="inlineStr">
        <is>
          <t>Log message</t>
        </is>
      </c>
      <c r="C50" s="19" t="n"/>
      <c r="D50" s="19" t="n"/>
      <c r="E50" s="22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16" t="n"/>
      <c r="B51" s="19" t="n"/>
      <c r="C51" s="19" t="n"/>
      <c r="D51" s="19" t="n"/>
      <c r="E51" s="22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16" t="n"/>
      <c r="B52" s="19" t="n"/>
      <c r="C52" s="19" t="n"/>
      <c r="D52" s="19" t="n"/>
      <c r="E52" s="22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15" t="inlineStr">
        <is>
          <t>Result</t>
        </is>
      </c>
      <c r="B53" s="17" t="inlineStr">
        <is>
          <t>Type(N : Normal, A : Abnormal, B : Boundary)</t>
        </is>
      </c>
      <c r="C53" s="4" t="n"/>
      <c r="D53" s="4" t="n"/>
      <c r="E53" s="4" t="n"/>
      <c r="F53" s="25" t="inlineStr">
        <is>
          <t>A</t>
        </is>
      </c>
      <c r="G53" s="25" t="inlineStr">
        <is>
          <t>N</t>
        </is>
      </c>
      <c r="H53" s="25" t="inlineStr">
        <is>
          <t>N</t>
        </is>
      </c>
      <c r="I53" s="25" t="inlineStr">
        <is>
          <t>N</t>
        </is>
      </c>
      <c r="J53" s="25" t="inlineStr">
        <is>
          <t>N</t>
        </is>
      </c>
      <c r="K53" s="25" t="inlineStr">
        <is>
          <t>N</t>
        </is>
      </c>
      <c r="L53" s="25" t="inlineStr">
        <is>
          <t>N</t>
        </is>
      </c>
      <c r="M53" s="25" t="inlineStr">
        <is>
          <t>N</t>
        </is>
      </c>
      <c r="N53" s="25" t="inlineStr">
        <is>
          <t>N</t>
        </is>
      </c>
      <c r="O53" s="25" t="inlineStr">
        <is>
          <t>N</t>
        </is>
      </c>
      <c r="P53" s="25" t="inlineStr">
        <is>
          <t>N</t>
        </is>
      </c>
      <c r="Q53" s="25" t="inlineStr">
        <is>
          <t>N</t>
        </is>
      </c>
      <c r="R53" s="25" t="inlineStr">
        <is>
          <t>N</t>
        </is>
      </c>
      <c r="S53" s="25" t="inlineStr">
        <is>
          <t>N</t>
        </is>
      </c>
      <c r="T53" s="25" t="inlineStr">
        <is>
          <t>N</t>
        </is>
      </c>
      <c r="U53" s="25" t="inlineStr">
        <is>
          <t>N</t>
        </is>
      </c>
      <c r="V53" s="25" t="inlineStr">
        <is>
          <t>N</t>
        </is>
      </c>
      <c r="W53" s="25" t="inlineStr">
        <is>
          <t>N</t>
        </is>
      </c>
      <c r="X53" s="25" t="inlineStr">
        <is>
          <t>N</t>
        </is>
      </c>
      <c r="Y53" s="25" t="inlineStr">
        <is>
          <t>N</t>
        </is>
      </c>
      <c r="Z53" s="25" t="inlineStr">
        <is>
          <t>N</t>
        </is>
      </c>
    </row>
    <row r="54">
      <c r="A54" s="16" t="n"/>
      <c r="B54" s="17" t="inlineStr">
        <is>
          <t>Passed/Failed</t>
        </is>
      </c>
      <c r="C54" s="4" t="n"/>
      <c r="D54" s="4" t="n"/>
      <c r="E54" s="4" t="n"/>
      <c r="F54" s="25" t="inlineStr">
        <is>
          <t>P</t>
        </is>
      </c>
      <c r="G54" s="25" t="inlineStr">
        <is>
          <t>P</t>
        </is>
      </c>
      <c r="H54" s="25" t="inlineStr">
        <is>
          <t>P</t>
        </is>
      </c>
      <c r="I54" s="25" t="inlineStr">
        <is>
          <t>P</t>
        </is>
      </c>
      <c r="J54" s="25" t="inlineStr">
        <is>
          <t>P</t>
        </is>
      </c>
      <c r="K54" s="25" t="inlineStr">
        <is>
          <t>P</t>
        </is>
      </c>
      <c r="L54" s="25" t="inlineStr">
        <is>
          <t>P</t>
        </is>
      </c>
      <c r="M54" s="25" t="inlineStr">
        <is>
          <t>P</t>
        </is>
      </c>
      <c r="N54" s="25" t="inlineStr">
        <is>
          <t>P</t>
        </is>
      </c>
      <c r="O54" s="25" t="inlineStr">
        <is>
          <t>P</t>
        </is>
      </c>
      <c r="P54" s="25" t="inlineStr">
        <is>
          <t>P</t>
        </is>
      </c>
      <c r="Q54" s="25" t="inlineStr">
        <is>
          <t>P</t>
        </is>
      </c>
      <c r="R54" s="25" t="inlineStr">
        <is>
          <t>P</t>
        </is>
      </c>
      <c r="S54" s="25" t="inlineStr">
        <is>
          <t>P</t>
        </is>
      </c>
      <c r="T54" s="25" t="inlineStr">
        <is>
          <t>P</t>
        </is>
      </c>
      <c r="U54" s="25" t="inlineStr">
        <is>
          <t>P</t>
        </is>
      </c>
      <c r="V54" s="25" t="inlineStr">
        <is>
          <t>P</t>
        </is>
      </c>
      <c r="W54" s="25" t="inlineStr">
        <is>
          <t>P</t>
        </is>
      </c>
      <c r="X54" s="25" t="inlineStr">
        <is>
          <t>P</t>
        </is>
      </c>
      <c r="Y54" s="25" t="inlineStr">
        <is>
          <t>P</t>
        </is>
      </c>
      <c r="Z54" s="25" t="inlineStr">
        <is>
          <t>P</t>
        </is>
      </c>
    </row>
    <row r="55">
      <c r="A55" s="16" t="n"/>
      <c r="B55" s="17" t="inlineStr">
        <is>
          <t>Executed Date</t>
        </is>
      </c>
      <c r="C55" s="4" t="n"/>
      <c r="D55" s="4" t="n"/>
      <c r="E55" s="4" t="n"/>
      <c r="F55" s="26" t="n">
        <v>46215</v>
      </c>
      <c r="G55" s="26" t="n">
        <v>46215</v>
      </c>
      <c r="H55" s="26" t="n">
        <v>46215</v>
      </c>
      <c r="I55" s="26" t="n">
        <v>46215</v>
      </c>
      <c r="J55" s="26" t="n">
        <v>46215</v>
      </c>
      <c r="K55" s="26" t="n">
        <v>46215</v>
      </c>
      <c r="L55" s="26" t="n">
        <v>46215</v>
      </c>
      <c r="M55" s="26" t="n">
        <v>46215</v>
      </c>
      <c r="N55" s="26" t="n">
        <v>46215</v>
      </c>
      <c r="O55" s="26" t="n">
        <v>46215</v>
      </c>
      <c r="P55" s="26" t="n">
        <v>46215</v>
      </c>
      <c r="Q55" s="26" t="n">
        <v>46215</v>
      </c>
      <c r="R55" s="26" t="n">
        <v>46215</v>
      </c>
      <c r="S55" s="26" t="n">
        <v>46215</v>
      </c>
      <c r="T55" s="26" t="n">
        <v>46215</v>
      </c>
      <c r="U55" s="26" t="n">
        <v>46215</v>
      </c>
      <c r="V55" s="26" t="n">
        <v>46215</v>
      </c>
      <c r="W55" s="26" t="n">
        <v>46215</v>
      </c>
      <c r="X55" s="26" t="n">
        <v>46215</v>
      </c>
      <c r="Y55" s="26" t="n">
        <v>46215</v>
      </c>
      <c r="Z55" s="26" t="n">
        <v>46215</v>
      </c>
    </row>
    <row r="56">
      <c r="A56" s="16" t="n"/>
      <c r="B56" s="17" t="inlineStr">
        <is>
          <t>Defect ID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</sheetData>
  <mergeCells count="27">
    <mergeCell ref="B55:E55"/>
    <mergeCell ref="F2:K2"/>
    <mergeCell ref="A6:B6"/>
    <mergeCell ref="C4:D4"/>
    <mergeCell ref="C2:E2"/>
    <mergeCell ref="L4:Z4"/>
    <mergeCell ref="A7:B7"/>
    <mergeCell ref="B54:E54"/>
    <mergeCell ref="C7:E7"/>
    <mergeCell ref="L6:N6"/>
    <mergeCell ref="A3:B3"/>
    <mergeCell ref="B56:E56"/>
    <mergeCell ref="A2:B2"/>
    <mergeCell ref="A5:B5"/>
    <mergeCell ref="C3:E3"/>
    <mergeCell ref="F4:K4"/>
    <mergeCell ref="O7:Z7"/>
    <mergeCell ref="C6:E6"/>
    <mergeCell ref="A4:B4"/>
    <mergeCell ref="L2:Z2"/>
    <mergeCell ref="B53:E53"/>
    <mergeCell ref="F6:K6"/>
    <mergeCell ref="O6:Z6"/>
    <mergeCell ref="F7:K7"/>
    <mergeCell ref="C5:Z5"/>
    <mergeCell ref="L3:N3"/>
    <mergeCell ref="F3:K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2">
      <c r="A2" s="15" t="inlineStr">
        <is>
          <t>Function Code</t>
        </is>
      </c>
      <c r="B2" s="16" t="n"/>
      <c r="C2" s="17" t="inlineStr">
        <is>
          <t>AiConfigTest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AiConfig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A4" s="15" t="inlineStr">
        <is>
          <t>Lines  of code</t>
        </is>
      </c>
      <c r="B4" s="16" t="n"/>
      <c r="C4" s="17" t="n">
        <v>157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15" t="inlineStr">
        <is>
          <t>Test requirement</t>
        </is>
      </c>
      <c r="B5" s="16" t="n"/>
      <c r="C5" s="17" t="inlineStr">
        <is>
          <t>Unit test for AiConfig (f8)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20">
        <f>COUNTIF(F45:Y45,"P")</f>
        <v/>
      </c>
      <c r="B7" s="4" t="n"/>
      <c r="C7" s="20">
        <f>COUNTIF(F45:Y45,"F")</f>
        <v/>
      </c>
      <c r="D7" s="4" t="n"/>
      <c r="E7" s="4" t="n"/>
      <c r="F7" s="20">
        <f>20-A7-C7</f>
        <v/>
      </c>
      <c r="G7" s="4" t="n"/>
      <c r="H7" s="4" t="n"/>
      <c r="I7" s="4" t="n"/>
      <c r="J7" s="4" t="n"/>
      <c r="K7" s="4" t="n"/>
      <c r="L7" s="17">
        <f>COUNTIF(F44:Y44,"N")</f>
        <v/>
      </c>
      <c r="M7" s="17">
        <f>COUNTIF(F44:Y44,"A")</f>
        <v/>
      </c>
      <c r="N7" s="17">
        <f>COUNTIF(F44:Y44,"B")</f>
        <v/>
      </c>
      <c r="O7" s="20" t="n">
        <v>20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16" t="n"/>
      <c r="B17" s="18" t="inlineStr">
        <is>
          <t>scenario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>
      <c r="A20" s="16" t="n"/>
      <c r="B20" s="18" t="inlineStr">
        <is>
          <t>sysRecommenProp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16" t="n"/>
      <c r="B23" s="18" t="inlineStr">
        <is>
          <t>sysGeminiProp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>
      <c r="A26" s="16" t="n"/>
      <c r="B26" s="18" t="inlineStr">
        <is>
          <t>sysChatbotProp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16" t="n"/>
      <c r="B29" s="18" t="inlineStr">
        <is>
          <t>dbValue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>
      <c r="A32" s="16" t="n"/>
      <c r="B32" s="18" t="inlineStr">
        <is>
          <t>expectKey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6">
      <c r="A36" s="15" t="inlineStr">
        <is>
          <t>Confirm</t>
        </is>
      </c>
      <c r="B36" s="18" t="inlineStr">
        <is>
          <t>Return</t>
        </is>
      </c>
      <c r="C36" s="19" t="n"/>
      <c r="D36" s="19" t="n"/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16" t="n"/>
      <c r="B37" s="19" t="n"/>
      <c r="C37" s="19" t="n"/>
      <c r="D37" s="23" t="inlineStr">
        <is>
          <t>Assertion verified</t>
        </is>
      </c>
      <c r="E37" s="22" t="n"/>
      <c r="F37" s="24" t="inlineStr">
        <is>
          <t>O</t>
        </is>
      </c>
      <c r="G37" s="24" t="inlineStr">
        <is>
          <t>O</t>
        </is>
      </c>
      <c r="H37" s="24" t="inlineStr">
        <is>
          <t>O</t>
        </is>
      </c>
      <c r="I37" s="24" t="inlineStr">
        <is>
          <t>O</t>
        </is>
      </c>
      <c r="J37" s="24" t="inlineStr">
        <is>
          <t>O</t>
        </is>
      </c>
      <c r="K37" s="24" t="inlineStr">
        <is>
          <t>O</t>
        </is>
      </c>
      <c r="L37" s="24" t="inlineStr">
        <is>
          <t>O</t>
        </is>
      </c>
      <c r="M37" s="24" t="inlineStr">
        <is>
          <t>O</t>
        </is>
      </c>
      <c r="N37" s="24" t="inlineStr">
        <is>
          <t>O</t>
        </is>
      </c>
      <c r="O37" s="24" t="inlineStr">
        <is>
          <t>O</t>
        </is>
      </c>
      <c r="P37" s="24" t="inlineStr">
        <is>
          <t>O</t>
        </is>
      </c>
      <c r="Q37" s="24" t="inlineStr">
        <is>
          <t>O</t>
        </is>
      </c>
      <c r="R37" s="24" t="inlineStr">
        <is>
          <t>O</t>
        </is>
      </c>
      <c r="S37" s="24" t="inlineStr">
        <is>
          <t>O</t>
        </is>
      </c>
      <c r="T37" s="24" t="inlineStr">
        <is>
          <t>O</t>
        </is>
      </c>
      <c r="U37" s="24" t="inlineStr">
        <is>
          <t>O</t>
        </is>
      </c>
      <c r="V37" s="24" t="inlineStr">
        <is>
          <t>O</t>
        </is>
      </c>
      <c r="W37" s="24" t="inlineStr">
        <is>
          <t>O</t>
        </is>
      </c>
      <c r="X37" s="24" t="inlineStr">
        <is>
          <t>O</t>
        </is>
      </c>
      <c r="Y37" s="24" t="inlineStr">
        <is>
          <t>O</t>
        </is>
      </c>
    </row>
    <row r="38">
      <c r="A38" s="16" t="n"/>
      <c r="B38" s="19" t="n"/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16" t="n"/>
      <c r="B39" s="18" t="inlineStr">
        <is>
          <t>Exception</t>
        </is>
      </c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16" t="n"/>
      <c r="B41" s="18" t="inlineStr">
        <is>
          <t>Log message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>
      <c r="A42" s="16" t="n"/>
      <c r="B42" s="19" t="n"/>
      <c r="C42" s="19" t="n"/>
      <c r="D42" s="19" t="n"/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>
      <c r="A44" s="15" t="inlineStr">
        <is>
          <t>Result</t>
        </is>
      </c>
      <c r="B44" s="17" t="inlineStr">
        <is>
          <t>Type(N : Normal, A : Abnormal, B : Boundary)</t>
        </is>
      </c>
      <c r="C44" s="4" t="n"/>
      <c r="D44" s="4" t="n"/>
      <c r="E44" s="4" t="n"/>
      <c r="F44" s="25" t="inlineStr">
        <is>
          <t>N</t>
        </is>
      </c>
      <c r="G44" s="25" t="inlineStr">
        <is>
          <t>N</t>
        </is>
      </c>
      <c r="H44" s="25" t="inlineStr">
        <is>
          <t>N</t>
        </is>
      </c>
      <c r="I44" s="25" t="inlineStr">
        <is>
          <t>N</t>
        </is>
      </c>
      <c r="J44" s="25" t="inlineStr">
        <is>
          <t>N</t>
        </is>
      </c>
      <c r="K44" s="25" t="inlineStr">
        <is>
          <t>N</t>
        </is>
      </c>
      <c r="L44" s="25" t="inlineStr">
        <is>
          <t>N</t>
        </is>
      </c>
      <c r="M44" s="25" t="inlineStr">
        <is>
          <t>N</t>
        </is>
      </c>
      <c r="N44" s="25" t="inlineStr">
        <is>
          <t>N</t>
        </is>
      </c>
      <c r="O44" s="25" t="inlineStr">
        <is>
          <t>N</t>
        </is>
      </c>
      <c r="P44" s="25" t="inlineStr">
        <is>
          <t>N</t>
        </is>
      </c>
      <c r="Q44" s="25" t="inlineStr">
        <is>
          <t>N</t>
        </is>
      </c>
      <c r="R44" s="25" t="inlineStr">
        <is>
          <t>N</t>
        </is>
      </c>
      <c r="S44" s="25" t="inlineStr">
        <is>
          <t>N</t>
        </is>
      </c>
      <c r="T44" s="25" t="inlineStr">
        <is>
          <t>N</t>
        </is>
      </c>
      <c r="U44" s="25" t="inlineStr">
        <is>
          <t>N</t>
        </is>
      </c>
      <c r="V44" s="25" t="inlineStr">
        <is>
          <t>N</t>
        </is>
      </c>
      <c r="W44" s="25" t="inlineStr">
        <is>
          <t>N</t>
        </is>
      </c>
      <c r="X44" s="25" t="inlineStr">
        <is>
          <t>N</t>
        </is>
      </c>
      <c r="Y44" s="25" t="inlineStr">
        <is>
          <t>N</t>
        </is>
      </c>
    </row>
    <row r="45">
      <c r="A45" s="16" t="n"/>
      <c r="B45" s="17" t="inlineStr">
        <is>
          <t>Passed/Failed</t>
        </is>
      </c>
      <c r="C45" s="4" t="n"/>
      <c r="D45" s="4" t="n"/>
      <c r="E45" s="4" t="n"/>
      <c r="F45" s="25" t="inlineStr">
        <is>
          <t>P</t>
        </is>
      </c>
      <c r="G45" s="25" t="inlineStr">
        <is>
          <t>P</t>
        </is>
      </c>
      <c r="H45" s="25" t="inlineStr">
        <is>
          <t>P</t>
        </is>
      </c>
      <c r="I45" s="25" t="inlineStr">
        <is>
          <t>P</t>
        </is>
      </c>
      <c r="J45" s="25" t="inlineStr">
        <is>
          <t>P</t>
        </is>
      </c>
      <c r="K45" s="25" t="inlineStr">
        <is>
          <t>P</t>
        </is>
      </c>
      <c r="L45" s="25" t="inlineStr">
        <is>
          <t>P</t>
        </is>
      </c>
      <c r="M45" s="25" t="inlineStr">
        <is>
          <t>P</t>
        </is>
      </c>
      <c r="N45" s="25" t="inlineStr">
        <is>
          <t>P</t>
        </is>
      </c>
      <c r="O45" s="25" t="inlineStr">
        <is>
          <t>P</t>
        </is>
      </c>
      <c r="P45" s="25" t="inlineStr">
        <is>
          <t>P</t>
        </is>
      </c>
      <c r="Q45" s="25" t="inlineStr">
        <is>
          <t>P</t>
        </is>
      </c>
      <c r="R45" s="25" t="inlineStr">
        <is>
          <t>P</t>
        </is>
      </c>
      <c r="S45" s="25" t="inlineStr">
        <is>
          <t>P</t>
        </is>
      </c>
      <c r="T45" s="25" t="inlineStr">
        <is>
          <t>P</t>
        </is>
      </c>
      <c r="U45" s="25" t="inlineStr">
        <is>
          <t>P</t>
        </is>
      </c>
      <c r="V45" s="25" t="inlineStr">
        <is>
          <t>P</t>
        </is>
      </c>
      <c r="W45" s="25" t="inlineStr">
        <is>
          <t>P</t>
        </is>
      </c>
      <c r="X45" s="25" t="inlineStr">
        <is>
          <t>P</t>
        </is>
      </c>
      <c r="Y45" s="25" t="inlineStr">
        <is>
          <t>P</t>
        </is>
      </c>
    </row>
    <row r="46">
      <c r="A46" s="16" t="n"/>
      <c r="B46" s="17" t="inlineStr">
        <is>
          <t>Executed Date</t>
        </is>
      </c>
      <c r="C46" s="4" t="n"/>
      <c r="D46" s="4" t="n"/>
      <c r="E46" s="4" t="n"/>
      <c r="F46" s="26" t="n">
        <v>46215</v>
      </c>
      <c r="G46" s="26" t="n">
        <v>46215</v>
      </c>
      <c r="H46" s="26" t="n">
        <v>46215</v>
      </c>
      <c r="I46" s="26" t="n">
        <v>46215</v>
      </c>
      <c r="J46" s="26" t="n">
        <v>46215</v>
      </c>
      <c r="K46" s="26" t="n">
        <v>46215</v>
      </c>
      <c r="L46" s="26" t="n">
        <v>46215</v>
      </c>
      <c r="M46" s="26" t="n">
        <v>46215</v>
      </c>
      <c r="N46" s="26" t="n">
        <v>46215</v>
      </c>
      <c r="O46" s="26" t="n">
        <v>46215</v>
      </c>
      <c r="P46" s="26" t="n">
        <v>46215</v>
      </c>
      <c r="Q46" s="26" t="n">
        <v>46215</v>
      </c>
      <c r="R46" s="26" t="n">
        <v>46215</v>
      </c>
      <c r="S46" s="26" t="n">
        <v>46215</v>
      </c>
      <c r="T46" s="26" t="n">
        <v>46215</v>
      </c>
      <c r="U46" s="26" t="n">
        <v>46215</v>
      </c>
      <c r="V46" s="26" t="n">
        <v>46215</v>
      </c>
      <c r="W46" s="26" t="n">
        <v>46215</v>
      </c>
      <c r="X46" s="26" t="n">
        <v>46215</v>
      </c>
      <c r="Y46" s="26" t="n">
        <v>46215</v>
      </c>
    </row>
    <row r="47">
      <c r="A47" s="16" t="n"/>
      <c r="B47" s="17" t="inlineStr">
        <is>
          <t>Defect ID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</sheetData>
  <mergeCells count="27">
    <mergeCell ref="O7:Y7"/>
    <mergeCell ref="L2:Y2"/>
    <mergeCell ref="O6:Y6"/>
    <mergeCell ref="F2:K2"/>
    <mergeCell ref="A6:B6"/>
    <mergeCell ref="C5:Y5"/>
    <mergeCell ref="C4:D4"/>
    <mergeCell ref="C2:E2"/>
    <mergeCell ref="B45:E45"/>
    <mergeCell ref="A7:B7"/>
    <mergeCell ref="B47:E47"/>
    <mergeCell ref="C7:E7"/>
    <mergeCell ref="L6:N6"/>
    <mergeCell ref="A3:B3"/>
    <mergeCell ref="B46:E46"/>
    <mergeCell ref="A2:B2"/>
    <mergeCell ref="L4:Y4"/>
    <mergeCell ref="A5:B5"/>
    <mergeCell ref="C3:E3"/>
    <mergeCell ref="F4:K4"/>
    <mergeCell ref="C6:E6"/>
    <mergeCell ref="A4:B4"/>
    <mergeCell ref="F6:K6"/>
    <mergeCell ref="B44:E44"/>
    <mergeCell ref="F7:K7"/>
    <mergeCell ref="L3:N3"/>
    <mergeCell ref="F3:K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AX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</cols>
  <sheetData>
    <row r="2">
      <c r="A2" s="15" t="inlineStr">
        <is>
          <t>Function Code</t>
        </is>
      </c>
      <c r="B2" s="16" t="n"/>
      <c r="C2" s="17" t="inlineStr">
        <is>
          <t>AiRecommendationServiceTest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AiRecommendationService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>
      <c r="A4" s="15" t="inlineStr">
        <is>
          <t>Lines  of code</t>
        </is>
      </c>
      <c r="B4" s="16" t="n"/>
      <c r="C4" s="17" t="n">
        <v>273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>
      <c r="A5" s="15" t="inlineStr">
        <is>
          <t>Test requirement</t>
        </is>
      </c>
      <c r="B5" s="16" t="n"/>
      <c r="C5" s="17" t="inlineStr">
        <is>
          <t>Unit test for AiRecommendationService (f8)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>
      <c r="A7" s="20">
        <f>COUNTIF(F42:AX42,"P")</f>
        <v/>
      </c>
      <c r="B7" s="4" t="n"/>
      <c r="C7" s="20">
        <f>COUNTIF(F42:AX42,"F")</f>
        <v/>
      </c>
      <c r="D7" s="4" t="n"/>
      <c r="E7" s="4" t="n"/>
      <c r="F7" s="20">
        <f>45-A7-C7</f>
        <v/>
      </c>
      <c r="G7" s="4" t="n"/>
      <c r="H7" s="4" t="n"/>
      <c r="I7" s="4" t="n"/>
      <c r="J7" s="4" t="n"/>
      <c r="K7" s="4" t="n"/>
      <c r="L7" s="17">
        <f>COUNTIF(F41:AX41,"N")</f>
        <v/>
      </c>
      <c r="M7" s="17">
        <f>COUNTIF(F41:AX41,"A")</f>
        <v/>
      </c>
      <c r="N7" s="17">
        <f>COUNTIF(F41:AX41,"B")</f>
        <v/>
      </c>
      <c r="O7" s="20" t="n">
        <v>45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>
      <c r="A17" s="16" t="n"/>
      <c r="B17" s="18" t="inlineStr">
        <is>
          <t>scenario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>
      <c r="A20" s="16" t="n"/>
      <c r="B20" s="18" t="inlineStr">
        <is>
          <t>candidatePoolIds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>
      <c r="A23" s="16" t="n"/>
      <c r="B23" s="18" t="inlineStr">
        <is>
          <t>apiResponse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>
      <c r="A26" s="16" t="n"/>
      <c r="B26" s="18" t="inlineStr">
        <is>
          <t>apiException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  <c r="AK27" s="24" t="inlineStr">
        <is>
          <t>O</t>
        </is>
      </c>
      <c r="AL27" s="24" t="inlineStr">
        <is>
          <t>O</t>
        </is>
      </c>
      <c r="AM27" s="24" t="inlineStr">
        <is>
          <t>O</t>
        </is>
      </c>
      <c r="AN27" s="24" t="inlineStr">
        <is>
          <t>O</t>
        </is>
      </c>
      <c r="AO27" s="24" t="inlineStr">
        <is>
          <t>O</t>
        </is>
      </c>
      <c r="AP27" s="24" t="inlineStr">
        <is>
          <t>O</t>
        </is>
      </c>
      <c r="AQ27" s="24" t="inlineStr">
        <is>
          <t>O</t>
        </is>
      </c>
      <c r="AR27" s="24" t="inlineStr">
        <is>
          <t>O</t>
        </is>
      </c>
      <c r="AS27" s="24" t="inlineStr">
        <is>
          <t>O</t>
        </is>
      </c>
      <c r="AT27" s="24" t="inlineStr">
        <is>
          <t>O</t>
        </is>
      </c>
      <c r="AU27" s="24" t="inlineStr">
        <is>
          <t>O</t>
        </is>
      </c>
      <c r="AV27" s="24" t="inlineStr">
        <is>
          <t>O</t>
        </is>
      </c>
      <c r="AW27" s="24" t="inlineStr">
        <is>
          <t>O</t>
        </is>
      </c>
      <c r="AX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>
      <c r="A29" s="16" t="n"/>
      <c r="B29" s="18" t="inlineStr">
        <is>
          <t>expectedIds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  <c r="AK30" s="24" t="inlineStr">
        <is>
          <t>O</t>
        </is>
      </c>
      <c r="AL30" s="24" t="inlineStr">
        <is>
          <t>O</t>
        </is>
      </c>
      <c r="AM30" s="24" t="inlineStr">
        <is>
          <t>O</t>
        </is>
      </c>
      <c r="AN30" s="24" t="inlineStr">
        <is>
          <t>O</t>
        </is>
      </c>
      <c r="AO30" s="24" t="inlineStr">
        <is>
          <t>O</t>
        </is>
      </c>
      <c r="AP30" s="24" t="inlineStr">
        <is>
          <t>O</t>
        </is>
      </c>
      <c r="AQ30" s="24" t="inlineStr">
        <is>
          <t>O</t>
        </is>
      </c>
      <c r="AR30" s="24" t="inlineStr">
        <is>
          <t>O</t>
        </is>
      </c>
      <c r="AS30" s="24" t="inlineStr">
        <is>
          <t>O</t>
        </is>
      </c>
      <c r="AT30" s="24" t="inlineStr">
        <is>
          <t>O</t>
        </is>
      </c>
      <c r="AU30" s="24" t="inlineStr">
        <is>
          <t>O</t>
        </is>
      </c>
      <c r="AV30" s="24" t="inlineStr">
        <is>
          <t>O</t>
        </is>
      </c>
      <c r="AW30" s="24" t="inlineStr">
        <is>
          <t>O</t>
        </is>
      </c>
      <c r="AX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3">
      <c r="A33" s="15" t="inlineStr">
        <is>
          <t>Confirm</t>
        </is>
      </c>
      <c r="B33" s="18" t="inlineStr">
        <is>
          <t>Return</t>
        </is>
      </c>
      <c r="C33" s="19" t="n"/>
      <c r="D33" s="19" t="n"/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>
      <c r="A34" s="16" t="n"/>
      <c r="B34" s="19" t="n"/>
      <c r="C34" s="19" t="n"/>
      <c r="D34" s="23" t="inlineStr">
        <is>
          <t>Assertion verified</t>
        </is>
      </c>
      <c r="E34" s="22" t="n"/>
      <c r="F34" s="24" t="inlineStr">
        <is>
          <t>O</t>
        </is>
      </c>
      <c r="G34" s="24" t="inlineStr">
        <is>
          <t>O</t>
        </is>
      </c>
      <c r="H34" s="24" t="inlineStr">
        <is>
          <t>O</t>
        </is>
      </c>
      <c r="I34" s="24" t="inlineStr">
        <is>
          <t>O</t>
        </is>
      </c>
      <c r="J34" s="24" t="inlineStr">
        <is>
          <t>O</t>
        </is>
      </c>
      <c r="K34" s="24" t="inlineStr">
        <is>
          <t>O</t>
        </is>
      </c>
      <c r="L34" s="24" t="inlineStr">
        <is>
          <t>O</t>
        </is>
      </c>
      <c r="M34" s="24" t="inlineStr">
        <is>
          <t>O</t>
        </is>
      </c>
      <c r="N34" s="24" t="inlineStr">
        <is>
          <t>O</t>
        </is>
      </c>
      <c r="O34" s="24" t="inlineStr">
        <is>
          <t>O</t>
        </is>
      </c>
      <c r="P34" s="24" t="inlineStr">
        <is>
          <t>O</t>
        </is>
      </c>
      <c r="Q34" s="24" t="inlineStr">
        <is>
          <t>O</t>
        </is>
      </c>
      <c r="R34" s="24" t="inlineStr">
        <is>
          <t>O</t>
        </is>
      </c>
      <c r="S34" s="24" t="inlineStr">
        <is>
          <t>O</t>
        </is>
      </c>
      <c r="T34" s="24" t="inlineStr">
        <is>
          <t>O</t>
        </is>
      </c>
      <c r="U34" s="24" t="inlineStr">
        <is>
          <t>O</t>
        </is>
      </c>
      <c r="V34" s="24" t="inlineStr">
        <is>
          <t>O</t>
        </is>
      </c>
      <c r="W34" s="24" t="inlineStr">
        <is>
          <t>O</t>
        </is>
      </c>
      <c r="X34" s="24" t="inlineStr">
        <is>
          <t>O</t>
        </is>
      </c>
      <c r="Y34" s="24" t="inlineStr">
        <is>
          <t>O</t>
        </is>
      </c>
      <c r="Z34" s="24" t="inlineStr">
        <is>
          <t>O</t>
        </is>
      </c>
      <c r="AA34" s="24" t="inlineStr">
        <is>
          <t>O</t>
        </is>
      </c>
      <c r="AB34" s="24" t="inlineStr">
        <is>
          <t>O</t>
        </is>
      </c>
      <c r="AC34" s="24" t="inlineStr">
        <is>
          <t>O</t>
        </is>
      </c>
      <c r="AD34" s="24" t="inlineStr">
        <is>
          <t>O</t>
        </is>
      </c>
      <c r="AE34" s="24" t="inlineStr">
        <is>
          <t>O</t>
        </is>
      </c>
      <c r="AF34" s="24" t="inlineStr">
        <is>
          <t>O</t>
        </is>
      </c>
      <c r="AG34" s="24" t="inlineStr">
        <is>
          <t>O</t>
        </is>
      </c>
      <c r="AH34" s="24" t="inlineStr">
        <is>
          <t>O</t>
        </is>
      </c>
      <c r="AI34" s="24" t="inlineStr">
        <is>
          <t>O</t>
        </is>
      </c>
      <c r="AJ34" s="24" t="inlineStr">
        <is>
          <t>O</t>
        </is>
      </c>
      <c r="AK34" s="24" t="inlineStr">
        <is>
          <t>O</t>
        </is>
      </c>
      <c r="AL34" s="24" t="inlineStr">
        <is>
          <t>O</t>
        </is>
      </c>
      <c r="AM34" s="24" t="inlineStr">
        <is>
          <t>O</t>
        </is>
      </c>
      <c r="AN34" s="24" t="inlineStr">
        <is>
          <t>O</t>
        </is>
      </c>
      <c r="AO34" s="24" t="inlineStr">
        <is>
          <t>O</t>
        </is>
      </c>
      <c r="AP34" s="24" t="inlineStr">
        <is>
          <t>O</t>
        </is>
      </c>
      <c r="AQ34" s="24" t="inlineStr">
        <is>
          <t>O</t>
        </is>
      </c>
      <c r="AR34" s="24" t="inlineStr">
        <is>
          <t>O</t>
        </is>
      </c>
      <c r="AS34" s="24" t="inlineStr">
        <is>
          <t>O</t>
        </is>
      </c>
      <c r="AT34" s="24" t="inlineStr">
        <is>
          <t>O</t>
        </is>
      </c>
      <c r="AU34" s="24" t="inlineStr">
        <is>
          <t>O</t>
        </is>
      </c>
      <c r="AV34" s="24" t="inlineStr">
        <is>
          <t>O</t>
        </is>
      </c>
      <c r="AW34" s="24" t="inlineStr">
        <is>
          <t>O</t>
        </is>
      </c>
      <c r="AX34" s="24" t="inlineStr">
        <is>
          <t>O</t>
        </is>
      </c>
    </row>
    <row r="35">
      <c r="A35" s="16" t="n"/>
      <c r="B35" s="19" t="n"/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>
      <c r="A36" s="16" t="n"/>
      <c r="B36" s="18" t="inlineStr">
        <is>
          <t>Exception</t>
        </is>
      </c>
      <c r="C36" s="19" t="n"/>
      <c r="D36" s="19" t="n"/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>
      <c r="A38" s="16" t="n"/>
      <c r="B38" s="18" t="inlineStr">
        <is>
          <t>Log message</t>
        </is>
      </c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>
      <c r="A39" s="16" t="n"/>
      <c r="B39" s="19" t="n"/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>
      <c r="A41" s="15" t="inlineStr">
        <is>
          <t>Result</t>
        </is>
      </c>
      <c r="B41" s="17" t="inlineStr">
        <is>
          <t>Type(N : Normal, A : Abnormal, B : Boundary)</t>
        </is>
      </c>
      <c r="C41" s="4" t="n"/>
      <c r="D41" s="4" t="n"/>
      <c r="E41" s="4" t="n"/>
      <c r="F41" s="25" t="inlineStr">
        <is>
          <t>A</t>
        </is>
      </c>
      <c r="G41" s="25" t="inlineStr">
        <is>
          <t>A</t>
        </is>
      </c>
      <c r="H41" s="25" t="inlineStr">
        <is>
          <t>A</t>
        </is>
      </c>
      <c r="I41" s="25" t="inlineStr">
        <is>
          <t>N</t>
        </is>
      </c>
      <c r="J41" s="25" t="inlineStr">
        <is>
          <t>N</t>
        </is>
      </c>
      <c r="K41" s="25" t="inlineStr">
        <is>
          <t>N</t>
        </is>
      </c>
      <c r="L41" s="25" t="inlineStr">
        <is>
          <t>N</t>
        </is>
      </c>
      <c r="M41" s="25" t="inlineStr">
        <is>
          <t>N</t>
        </is>
      </c>
      <c r="N41" s="25" t="inlineStr">
        <is>
          <t>N</t>
        </is>
      </c>
      <c r="O41" s="25" t="inlineStr">
        <is>
          <t>N</t>
        </is>
      </c>
      <c r="P41" s="25" t="inlineStr">
        <is>
          <t>N</t>
        </is>
      </c>
      <c r="Q41" s="25" t="inlineStr">
        <is>
          <t>N</t>
        </is>
      </c>
      <c r="R41" s="25" t="inlineStr">
        <is>
          <t>N</t>
        </is>
      </c>
      <c r="S41" s="25" t="inlineStr">
        <is>
          <t>N</t>
        </is>
      </c>
      <c r="T41" s="25" t="inlineStr">
        <is>
          <t>N</t>
        </is>
      </c>
      <c r="U41" s="25" t="inlineStr">
        <is>
          <t>N</t>
        </is>
      </c>
      <c r="V41" s="25" t="inlineStr">
        <is>
          <t>N</t>
        </is>
      </c>
      <c r="W41" s="25" t="inlineStr">
        <is>
          <t>N</t>
        </is>
      </c>
      <c r="X41" s="25" t="inlineStr">
        <is>
          <t>N</t>
        </is>
      </c>
      <c r="Y41" s="25" t="inlineStr">
        <is>
          <t>N</t>
        </is>
      </c>
      <c r="Z41" s="25" t="inlineStr">
        <is>
          <t>N</t>
        </is>
      </c>
      <c r="AA41" s="25" t="inlineStr">
        <is>
          <t>N</t>
        </is>
      </c>
      <c r="AB41" s="25" t="inlineStr">
        <is>
          <t>N</t>
        </is>
      </c>
      <c r="AC41" s="25" t="inlineStr">
        <is>
          <t>N</t>
        </is>
      </c>
      <c r="AD41" s="25" t="inlineStr">
        <is>
          <t>N</t>
        </is>
      </c>
      <c r="AE41" s="25" t="inlineStr">
        <is>
          <t>N</t>
        </is>
      </c>
      <c r="AF41" s="25" t="inlineStr">
        <is>
          <t>N</t>
        </is>
      </c>
      <c r="AG41" s="25" t="inlineStr">
        <is>
          <t>N</t>
        </is>
      </c>
      <c r="AH41" s="25" t="inlineStr">
        <is>
          <t>N</t>
        </is>
      </c>
      <c r="AI41" s="25" t="inlineStr">
        <is>
          <t>N</t>
        </is>
      </c>
      <c r="AJ41" s="25" t="inlineStr">
        <is>
          <t>N</t>
        </is>
      </c>
      <c r="AK41" s="25" t="inlineStr">
        <is>
          <t>N</t>
        </is>
      </c>
      <c r="AL41" s="25" t="inlineStr">
        <is>
          <t>N</t>
        </is>
      </c>
      <c r="AM41" s="25" t="inlineStr">
        <is>
          <t>N</t>
        </is>
      </c>
      <c r="AN41" s="25" t="inlineStr">
        <is>
          <t>N</t>
        </is>
      </c>
      <c r="AO41" s="25" t="inlineStr">
        <is>
          <t>N</t>
        </is>
      </c>
      <c r="AP41" s="25" t="inlineStr">
        <is>
          <t>N</t>
        </is>
      </c>
      <c r="AQ41" s="25" t="inlineStr">
        <is>
          <t>N</t>
        </is>
      </c>
      <c r="AR41" s="25" t="inlineStr">
        <is>
          <t>N</t>
        </is>
      </c>
      <c r="AS41" s="25" t="inlineStr">
        <is>
          <t>N</t>
        </is>
      </c>
      <c r="AT41" s="25" t="inlineStr">
        <is>
          <t>N</t>
        </is>
      </c>
      <c r="AU41" s="25" t="inlineStr">
        <is>
          <t>N</t>
        </is>
      </c>
      <c r="AV41" s="25" t="inlineStr">
        <is>
          <t>N</t>
        </is>
      </c>
      <c r="AW41" s="25" t="inlineStr">
        <is>
          <t>N</t>
        </is>
      </c>
      <c r="AX41" s="25" t="inlineStr">
        <is>
          <t>N</t>
        </is>
      </c>
    </row>
    <row r="42">
      <c r="A42" s="16" t="n"/>
      <c r="B42" s="17" t="inlineStr">
        <is>
          <t>Passed/Failed</t>
        </is>
      </c>
      <c r="C42" s="4" t="n"/>
      <c r="D42" s="4" t="n"/>
      <c r="E42" s="4" t="n"/>
      <c r="F42" s="25" t="inlineStr">
        <is>
          <t>P</t>
        </is>
      </c>
      <c r="G42" s="25" t="inlineStr">
        <is>
          <t>P</t>
        </is>
      </c>
      <c r="H42" s="25" t="inlineStr">
        <is>
          <t>P</t>
        </is>
      </c>
      <c r="I42" s="25" t="inlineStr">
        <is>
          <t>P</t>
        </is>
      </c>
      <c r="J42" s="25" t="inlineStr">
        <is>
          <t>P</t>
        </is>
      </c>
      <c r="K42" s="25" t="inlineStr">
        <is>
          <t>P</t>
        </is>
      </c>
      <c r="L42" s="25" t="inlineStr">
        <is>
          <t>P</t>
        </is>
      </c>
      <c r="M42" s="25" t="inlineStr">
        <is>
          <t>P</t>
        </is>
      </c>
      <c r="N42" s="25" t="inlineStr">
        <is>
          <t>P</t>
        </is>
      </c>
      <c r="O42" s="25" t="inlineStr">
        <is>
          <t>P</t>
        </is>
      </c>
      <c r="P42" s="25" t="inlineStr">
        <is>
          <t>P</t>
        </is>
      </c>
      <c r="Q42" s="25" t="inlineStr">
        <is>
          <t>P</t>
        </is>
      </c>
      <c r="R42" s="25" t="inlineStr">
        <is>
          <t>P</t>
        </is>
      </c>
      <c r="S42" s="25" t="inlineStr">
        <is>
          <t>P</t>
        </is>
      </c>
      <c r="T42" s="25" t="inlineStr">
        <is>
          <t>P</t>
        </is>
      </c>
      <c r="U42" s="25" t="inlineStr">
        <is>
          <t>P</t>
        </is>
      </c>
      <c r="V42" s="25" t="inlineStr">
        <is>
          <t>P</t>
        </is>
      </c>
      <c r="W42" s="25" t="inlineStr">
        <is>
          <t>P</t>
        </is>
      </c>
      <c r="X42" s="25" t="inlineStr">
        <is>
          <t>P</t>
        </is>
      </c>
      <c r="Y42" s="25" t="inlineStr">
        <is>
          <t>P</t>
        </is>
      </c>
      <c r="Z42" s="25" t="inlineStr">
        <is>
          <t>P</t>
        </is>
      </c>
      <c r="AA42" s="25" t="inlineStr">
        <is>
          <t>P</t>
        </is>
      </c>
      <c r="AB42" s="25" t="inlineStr">
        <is>
          <t>P</t>
        </is>
      </c>
      <c r="AC42" s="25" t="inlineStr">
        <is>
          <t>P</t>
        </is>
      </c>
      <c r="AD42" s="25" t="inlineStr">
        <is>
          <t>P</t>
        </is>
      </c>
      <c r="AE42" s="25" t="inlineStr">
        <is>
          <t>P</t>
        </is>
      </c>
      <c r="AF42" s="25" t="inlineStr">
        <is>
          <t>P</t>
        </is>
      </c>
      <c r="AG42" s="25" t="inlineStr">
        <is>
          <t>P</t>
        </is>
      </c>
      <c r="AH42" s="25" t="inlineStr">
        <is>
          <t>P</t>
        </is>
      </c>
      <c r="AI42" s="25" t="inlineStr">
        <is>
          <t>P</t>
        </is>
      </c>
      <c r="AJ42" s="25" t="inlineStr">
        <is>
          <t>P</t>
        </is>
      </c>
      <c r="AK42" s="25" t="inlineStr">
        <is>
          <t>P</t>
        </is>
      </c>
      <c r="AL42" s="25" t="inlineStr">
        <is>
          <t>P</t>
        </is>
      </c>
      <c r="AM42" s="25" t="inlineStr">
        <is>
          <t>P</t>
        </is>
      </c>
      <c r="AN42" s="25" t="inlineStr">
        <is>
          <t>P</t>
        </is>
      </c>
      <c r="AO42" s="25" t="inlineStr">
        <is>
          <t>P</t>
        </is>
      </c>
      <c r="AP42" s="25" t="inlineStr">
        <is>
          <t>P</t>
        </is>
      </c>
      <c r="AQ42" s="25" t="inlineStr">
        <is>
          <t>P</t>
        </is>
      </c>
      <c r="AR42" s="25" t="inlineStr">
        <is>
          <t>P</t>
        </is>
      </c>
      <c r="AS42" s="25" t="inlineStr">
        <is>
          <t>P</t>
        </is>
      </c>
      <c r="AT42" s="25" t="inlineStr">
        <is>
          <t>P</t>
        </is>
      </c>
      <c r="AU42" s="25" t="inlineStr">
        <is>
          <t>P</t>
        </is>
      </c>
      <c r="AV42" s="25" t="inlineStr">
        <is>
          <t>P</t>
        </is>
      </c>
      <c r="AW42" s="25" t="inlineStr">
        <is>
          <t>P</t>
        </is>
      </c>
      <c r="AX42" s="25" t="inlineStr">
        <is>
          <t>P</t>
        </is>
      </c>
    </row>
    <row r="43">
      <c r="A43" s="16" t="n"/>
      <c r="B43" s="17" t="inlineStr">
        <is>
          <t>Executed Date</t>
        </is>
      </c>
      <c r="C43" s="4" t="n"/>
      <c r="D43" s="4" t="n"/>
      <c r="E43" s="4" t="n"/>
      <c r="F43" s="26" t="n">
        <v>46215</v>
      </c>
      <c r="G43" s="26" t="n">
        <v>46215</v>
      </c>
      <c r="H43" s="26" t="n">
        <v>46215</v>
      </c>
      <c r="I43" s="26" t="n">
        <v>46215</v>
      </c>
      <c r="J43" s="26" t="n">
        <v>46215</v>
      </c>
      <c r="K43" s="26" t="n">
        <v>46215</v>
      </c>
      <c r="L43" s="26" t="n">
        <v>46215</v>
      </c>
      <c r="M43" s="26" t="n">
        <v>46215</v>
      </c>
      <c r="N43" s="26" t="n">
        <v>46215</v>
      </c>
      <c r="O43" s="26" t="n">
        <v>46215</v>
      </c>
      <c r="P43" s="26" t="n">
        <v>46215</v>
      </c>
      <c r="Q43" s="26" t="n">
        <v>46215</v>
      </c>
      <c r="R43" s="26" t="n">
        <v>46215</v>
      </c>
      <c r="S43" s="26" t="n">
        <v>46215</v>
      </c>
      <c r="T43" s="26" t="n">
        <v>46215</v>
      </c>
      <c r="U43" s="26" t="n">
        <v>46215</v>
      </c>
      <c r="V43" s="26" t="n">
        <v>46215</v>
      </c>
      <c r="W43" s="26" t="n">
        <v>46215</v>
      </c>
      <c r="X43" s="26" t="n">
        <v>46215</v>
      </c>
      <c r="Y43" s="26" t="n">
        <v>46215</v>
      </c>
      <c r="Z43" s="26" t="n">
        <v>46215</v>
      </c>
      <c r="AA43" s="26" t="n">
        <v>46215</v>
      </c>
      <c r="AB43" s="26" t="n">
        <v>46215</v>
      </c>
      <c r="AC43" s="26" t="n">
        <v>46215</v>
      </c>
      <c r="AD43" s="26" t="n">
        <v>46215</v>
      </c>
      <c r="AE43" s="26" t="n">
        <v>46215</v>
      </c>
      <c r="AF43" s="26" t="n">
        <v>46215</v>
      </c>
      <c r="AG43" s="26" t="n">
        <v>46215</v>
      </c>
      <c r="AH43" s="26" t="n">
        <v>46215</v>
      </c>
      <c r="AI43" s="26" t="n">
        <v>46215</v>
      </c>
      <c r="AJ43" s="26" t="n">
        <v>46215</v>
      </c>
      <c r="AK43" s="26" t="n">
        <v>46215</v>
      </c>
      <c r="AL43" s="26" t="n">
        <v>46215</v>
      </c>
      <c r="AM43" s="26" t="n">
        <v>46215</v>
      </c>
      <c r="AN43" s="26" t="n">
        <v>46215</v>
      </c>
      <c r="AO43" s="26" t="n">
        <v>46215</v>
      </c>
      <c r="AP43" s="26" t="n">
        <v>46215</v>
      </c>
      <c r="AQ43" s="26" t="n">
        <v>46215</v>
      </c>
      <c r="AR43" s="26" t="n">
        <v>46215</v>
      </c>
      <c r="AS43" s="26" t="n">
        <v>46215</v>
      </c>
      <c r="AT43" s="26" t="n">
        <v>46215</v>
      </c>
      <c r="AU43" s="26" t="n">
        <v>46215</v>
      </c>
      <c r="AV43" s="26" t="n">
        <v>46215</v>
      </c>
      <c r="AW43" s="26" t="n">
        <v>46215</v>
      </c>
      <c r="AX43" s="26" t="n">
        <v>46215</v>
      </c>
    </row>
    <row r="44">
      <c r="A44" s="16" t="n"/>
      <c r="B44" s="17" t="inlineStr">
        <is>
          <t>Defect ID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</sheetData>
  <mergeCells count="27">
    <mergeCell ref="C5:AX5"/>
    <mergeCell ref="F2:K2"/>
    <mergeCell ref="A6:B6"/>
    <mergeCell ref="C4:D4"/>
    <mergeCell ref="C2:E2"/>
    <mergeCell ref="B41:E41"/>
    <mergeCell ref="A7:B7"/>
    <mergeCell ref="L4:AX4"/>
    <mergeCell ref="C7:E7"/>
    <mergeCell ref="L6:N6"/>
    <mergeCell ref="A3:B3"/>
    <mergeCell ref="A2:B2"/>
    <mergeCell ref="B43:E43"/>
    <mergeCell ref="A5:B5"/>
    <mergeCell ref="C3:E3"/>
    <mergeCell ref="F4:K4"/>
    <mergeCell ref="B42:E42"/>
    <mergeCell ref="C6:E6"/>
    <mergeCell ref="A4:B4"/>
    <mergeCell ref="F6:K6"/>
    <mergeCell ref="O7:AX7"/>
    <mergeCell ref="B44:E44"/>
    <mergeCell ref="L2:AX2"/>
    <mergeCell ref="F7:K7"/>
    <mergeCell ref="L3:N3"/>
    <mergeCell ref="F3:K3"/>
    <mergeCell ref="O6:AX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BP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</cols>
  <sheetData>
    <row r="2">
      <c r="A2" s="15" t="inlineStr">
        <is>
          <t>Function Code</t>
        </is>
      </c>
      <c r="B2" s="16" t="n"/>
      <c r="C2" s="17" t="inlineStr">
        <is>
          <t>BookDAOTest_26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BookDAO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</row>
    <row r="4">
      <c r="A4" s="15" t="inlineStr">
        <is>
          <t>Lines  of code</t>
        </is>
      </c>
      <c r="B4" s="16" t="n"/>
      <c r="C4" s="17" t="n">
        <v>674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4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</row>
    <row r="5">
      <c r="A5" s="15" t="inlineStr">
        <is>
          <t>Test requirement</t>
        </is>
      </c>
      <c r="B5" s="16" t="n"/>
      <c r="C5" s="17" t="inlineStr">
        <is>
          <t>Unit test for BookDAO (f8)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</row>
    <row r="7">
      <c r="A7" s="20">
        <f>COUNTIF(F51:BP51,"P")</f>
        <v/>
      </c>
      <c r="B7" s="4" t="n"/>
      <c r="C7" s="20">
        <f>COUNTIF(F51:BP51,"F")</f>
        <v/>
      </c>
      <c r="D7" s="4" t="n"/>
      <c r="E7" s="4" t="n"/>
      <c r="F7" s="20">
        <f>63-A7-C7</f>
        <v/>
      </c>
      <c r="G7" s="4" t="n"/>
      <c r="H7" s="4" t="n"/>
      <c r="I7" s="4" t="n"/>
      <c r="J7" s="4" t="n"/>
      <c r="K7" s="4" t="n"/>
      <c r="L7" s="17">
        <f>COUNTIF(F50:BP50,"N")</f>
        <v/>
      </c>
      <c r="M7" s="17">
        <f>COUNTIF(F50:BP50,"A")</f>
        <v/>
      </c>
      <c r="N7" s="17">
        <f>COUNTIF(F50:BP50,"B")</f>
        <v/>
      </c>
      <c r="O7" s="20" t="n">
        <v>63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  <c r="AY8" s="21" t="inlineStr">
        <is>
          <t>TC046</t>
        </is>
      </c>
      <c r="AZ8" s="21" t="inlineStr">
        <is>
          <t>TC047</t>
        </is>
      </c>
      <c r="BA8" s="21" t="inlineStr">
        <is>
          <t>TC048</t>
        </is>
      </c>
      <c r="BB8" s="21" t="inlineStr">
        <is>
          <t>TC049</t>
        </is>
      </c>
      <c r="BC8" s="21" t="inlineStr">
        <is>
          <t>TC050</t>
        </is>
      </c>
      <c r="BD8" s="21" t="inlineStr">
        <is>
          <t>TC051</t>
        </is>
      </c>
      <c r="BE8" s="21" t="inlineStr">
        <is>
          <t>TC052</t>
        </is>
      </c>
      <c r="BF8" s="21" t="inlineStr">
        <is>
          <t>TC053</t>
        </is>
      </c>
      <c r="BG8" s="21" t="inlineStr">
        <is>
          <t>TC054</t>
        </is>
      </c>
      <c r="BH8" s="21" t="inlineStr">
        <is>
          <t>TC055</t>
        </is>
      </c>
      <c r="BI8" s="21" t="inlineStr">
        <is>
          <t>TC056</t>
        </is>
      </c>
      <c r="BJ8" s="21" t="inlineStr">
        <is>
          <t>TC057</t>
        </is>
      </c>
      <c r="BK8" s="21" t="inlineStr">
        <is>
          <t>TC058</t>
        </is>
      </c>
      <c r="BL8" s="21" t="inlineStr">
        <is>
          <t>TC059</t>
        </is>
      </c>
      <c r="BM8" s="21" t="inlineStr">
        <is>
          <t>TC060</t>
        </is>
      </c>
      <c r="BN8" s="21" t="inlineStr">
        <is>
          <t>TC061</t>
        </is>
      </c>
      <c r="BO8" s="21" t="inlineStr">
        <is>
          <t>TC062</t>
        </is>
      </c>
      <c r="BP8" s="21" t="inlineStr">
        <is>
          <t>TC063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  <c r="AY11" s="24" t="inlineStr">
        <is>
          <t>O</t>
        </is>
      </c>
      <c r="AZ11" s="24" t="inlineStr">
        <is>
          <t>O</t>
        </is>
      </c>
      <c r="BA11" s="24" t="inlineStr">
        <is>
          <t>O</t>
        </is>
      </c>
      <c r="BB11" s="24" t="inlineStr">
        <is>
          <t>O</t>
        </is>
      </c>
      <c r="BC11" s="24" t="inlineStr">
        <is>
          <t>O</t>
        </is>
      </c>
      <c r="BD11" s="24" t="inlineStr">
        <is>
          <t>O</t>
        </is>
      </c>
      <c r="BE11" s="24" t="inlineStr">
        <is>
          <t>O</t>
        </is>
      </c>
      <c r="BF11" s="24" t="inlineStr">
        <is>
          <t>O</t>
        </is>
      </c>
      <c r="BG11" s="24" t="inlineStr">
        <is>
          <t>O</t>
        </is>
      </c>
      <c r="BH11" s="24" t="inlineStr">
        <is>
          <t>O</t>
        </is>
      </c>
      <c r="BI11" s="24" t="inlineStr">
        <is>
          <t>O</t>
        </is>
      </c>
      <c r="BJ11" s="24" t="inlineStr">
        <is>
          <t>O</t>
        </is>
      </c>
      <c r="BK11" s="24" t="inlineStr">
        <is>
          <t>O</t>
        </is>
      </c>
      <c r="BL11" s="24" t="inlineStr">
        <is>
          <t>O</t>
        </is>
      </c>
      <c r="BM11" s="24" t="inlineStr">
        <is>
          <t>O</t>
        </is>
      </c>
      <c r="BN11" s="24" t="inlineStr">
        <is>
          <t>O</t>
        </is>
      </c>
      <c r="BO11" s="24" t="inlineStr">
        <is>
          <t>O</t>
        </is>
      </c>
      <c r="BP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  <c r="AY15" s="24" t="inlineStr">
        <is>
          <t>O</t>
        </is>
      </c>
      <c r="AZ15" s="24" t="inlineStr">
        <is>
          <t>O</t>
        </is>
      </c>
      <c r="BA15" s="24" t="inlineStr">
        <is>
          <t>O</t>
        </is>
      </c>
      <c r="BB15" s="24" t="inlineStr">
        <is>
          <t>O</t>
        </is>
      </c>
      <c r="BC15" s="24" t="inlineStr">
        <is>
          <t>O</t>
        </is>
      </c>
      <c r="BD15" s="24" t="inlineStr">
        <is>
          <t>O</t>
        </is>
      </c>
      <c r="BE15" s="24" t="inlineStr">
        <is>
          <t>O</t>
        </is>
      </c>
      <c r="BF15" s="24" t="inlineStr">
        <is>
          <t>O</t>
        </is>
      </c>
      <c r="BG15" s="24" t="inlineStr">
        <is>
          <t>O</t>
        </is>
      </c>
      <c r="BH15" s="24" t="inlineStr">
        <is>
          <t>O</t>
        </is>
      </c>
      <c r="BI15" s="24" t="inlineStr">
        <is>
          <t>O</t>
        </is>
      </c>
      <c r="BJ15" s="24" t="inlineStr">
        <is>
          <t>O</t>
        </is>
      </c>
      <c r="BK15" s="24" t="inlineStr">
        <is>
          <t>O</t>
        </is>
      </c>
      <c r="BL15" s="24" t="inlineStr">
        <is>
          <t>O</t>
        </is>
      </c>
      <c r="BM15" s="24" t="inlineStr">
        <is>
          <t>O</t>
        </is>
      </c>
      <c r="BN15" s="24" t="inlineStr">
        <is>
          <t>O</t>
        </is>
      </c>
      <c r="BO15" s="24" t="inlineStr">
        <is>
          <t>O</t>
        </is>
      </c>
      <c r="BP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</row>
    <row r="17">
      <c r="A17" s="16" t="n"/>
      <c r="B17" s="18" t="inlineStr">
        <is>
          <t>method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  <c r="AY18" s="24" t="inlineStr">
        <is>
          <t>O</t>
        </is>
      </c>
      <c r="AZ18" s="24" t="inlineStr">
        <is>
          <t>O</t>
        </is>
      </c>
      <c r="BA18" s="24" t="inlineStr">
        <is>
          <t>O</t>
        </is>
      </c>
      <c r="BB18" s="24" t="inlineStr">
        <is>
          <t>O</t>
        </is>
      </c>
      <c r="BC18" s="24" t="inlineStr">
        <is>
          <t>O</t>
        </is>
      </c>
      <c r="BD18" s="24" t="inlineStr">
        <is>
          <t>O</t>
        </is>
      </c>
      <c r="BE18" s="24" t="inlineStr">
        <is>
          <t>O</t>
        </is>
      </c>
      <c r="BF18" s="24" t="inlineStr">
        <is>
          <t>O</t>
        </is>
      </c>
      <c r="BG18" s="24" t="inlineStr">
        <is>
          <t>O</t>
        </is>
      </c>
      <c r="BH18" s="24" t="inlineStr">
        <is>
          <t>O</t>
        </is>
      </c>
      <c r="BI18" s="24" t="inlineStr">
        <is>
          <t>O</t>
        </is>
      </c>
      <c r="BJ18" s="24" t="inlineStr">
        <is>
          <t>O</t>
        </is>
      </c>
      <c r="BK18" s="24" t="inlineStr">
        <is>
          <t>O</t>
        </is>
      </c>
      <c r="BL18" s="24" t="inlineStr">
        <is>
          <t>O</t>
        </is>
      </c>
      <c r="BM18" s="24" t="inlineStr">
        <is>
          <t>O</t>
        </is>
      </c>
      <c r="BN18" s="24" t="inlineStr">
        <is>
          <t>O</t>
        </is>
      </c>
      <c r="BO18" s="24" t="inlineStr">
        <is>
          <t>O</t>
        </is>
      </c>
      <c r="BP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</row>
    <row r="20">
      <c r="A20" s="16" t="n"/>
      <c r="B20" s="18" t="inlineStr">
        <is>
          <t>keyword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  <c r="AY21" s="24" t="inlineStr">
        <is>
          <t>O</t>
        </is>
      </c>
      <c r="AZ21" s="24" t="inlineStr">
        <is>
          <t>O</t>
        </is>
      </c>
      <c r="BA21" s="24" t="inlineStr">
        <is>
          <t>O</t>
        </is>
      </c>
      <c r="BB21" s="24" t="inlineStr">
        <is>
          <t>O</t>
        </is>
      </c>
      <c r="BC21" s="24" t="inlineStr">
        <is>
          <t>O</t>
        </is>
      </c>
      <c r="BD21" s="24" t="inlineStr">
        <is>
          <t>O</t>
        </is>
      </c>
      <c r="BE21" s="24" t="inlineStr">
        <is>
          <t>O</t>
        </is>
      </c>
      <c r="BF21" s="24" t="inlineStr">
        <is>
          <t>O</t>
        </is>
      </c>
      <c r="BG21" s="24" t="inlineStr">
        <is>
          <t>O</t>
        </is>
      </c>
      <c r="BH21" s="24" t="inlineStr">
        <is>
          <t>O</t>
        </is>
      </c>
      <c r="BI21" s="24" t="inlineStr">
        <is>
          <t>O</t>
        </is>
      </c>
      <c r="BJ21" s="24" t="inlineStr">
        <is>
          <t>O</t>
        </is>
      </c>
      <c r="BK21" s="24" t="inlineStr">
        <is>
          <t>O</t>
        </is>
      </c>
      <c r="BL21" s="24" t="inlineStr">
        <is>
          <t>O</t>
        </is>
      </c>
      <c r="BM21" s="24" t="inlineStr">
        <is>
          <t>O</t>
        </is>
      </c>
      <c r="BN21" s="24" t="inlineStr">
        <is>
          <t>O</t>
        </is>
      </c>
      <c r="BO21" s="24" t="inlineStr">
        <is>
          <t>O</t>
        </is>
      </c>
      <c r="BP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</row>
    <row r="23">
      <c r="A23" s="16" t="n"/>
      <c r="B23" s="18" t="inlineStr">
        <is>
          <t>categoryId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  <c r="AY24" s="24" t="inlineStr">
        <is>
          <t>O</t>
        </is>
      </c>
      <c r="AZ24" s="24" t="inlineStr">
        <is>
          <t>O</t>
        </is>
      </c>
      <c r="BA24" s="24" t="inlineStr">
        <is>
          <t>O</t>
        </is>
      </c>
      <c r="BB24" s="24" t="inlineStr">
        <is>
          <t>O</t>
        </is>
      </c>
      <c r="BC24" s="24" t="inlineStr">
        <is>
          <t>O</t>
        </is>
      </c>
      <c r="BD24" s="24" t="inlineStr">
        <is>
          <t>O</t>
        </is>
      </c>
      <c r="BE24" s="24" t="inlineStr">
        <is>
          <t>O</t>
        </is>
      </c>
      <c r="BF24" s="24" t="inlineStr">
        <is>
          <t>O</t>
        </is>
      </c>
      <c r="BG24" s="24" t="inlineStr">
        <is>
          <t>O</t>
        </is>
      </c>
      <c r="BH24" s="24" t="inlineStr">
        <is>
          <t>O</t>
        </is>
      </c>
      <c r="BI24" s="24" t="inlineStr">
        <is>
          <t>O</t>
        </is>
      </c>
      <c r="BJ24" s="24" t="inlineStr">
        <is>
          <t>O</t>
        </is>
      </c>
      <c r="BK24" s="24" t="inlineStr">
        <is>
          <t>O</t>
        </is>
      </c>
      <c r="BL24" s="24" t="inlineStr">
        <is>
          <t>O</t>
        </is>
      </c>
      <c r="BM24" s="24" t="inlineStr">
        <is>
          <t>O</t>
        </is>
      </c>
      <c r="BN24" s="24" t="inlineStr">
        <is>
          <t>O</t>
        </is>
      </c>
      <c r="BO24" s="24" t="inlineStr">
        <is>
          <t>O</t>
        </is>
      </c>
      <c r="BP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</row>
    <row r="26">
      <c r="A26" s="16" t="n"/>
      <c r="B26" s="18" t="inlineStr">
        <is>
          <t>tagIds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  <c r="AK27" s="24" t="inlineStr">
        <is>
          <t>O</t>
        </is>
      </c>
      <c r="AL27" s="24" t="inlineStr">
        <is>
          <t>O</t>
        </is>
      </c>
      <c r="AM27" s="24" t="inlineStr">
        <is>
          <t>O</t>
        </is>
      </c>
      <c r="AN27" s="24" t="inlineStr">
        <is>
          <t>O</t>
        </is>
      </c>
      <c r="AO27" s="24" t="inlineStr">
        <is>
          <t>O</t>
        </is>
      </c>
      <c r="AP27" s="24" t="inlineStr">
        <is>
          <t>O</t>
        </is>
      </c>
      <c r="AQ27" s="24" t="inlineStr">
        <is>
          <t>O</t>
        </is>
      </c>
      <c r="AR27" s="24" t="inlineStr">
        <is>
          <t>O</t>
        </is>
      </c>
      <c r="AS27" s="24" t="inlineStr">
        <is>
          <t>O</t>
        </is>
      </c>
      <c r="AT27" s="24" t="inlineStr">
        <is>
          <t>O</t>
        </is>
      </c>
      <c r="AU27" s="24" t="inlineStr">
        <is>
          <t>O</t>
        </is>
      </c>
      <c r="AV27" s="24" t="inlineStr">
        <is>
          <t>O</t>
        </is>
      </c>
      <c r="AW27" s="24" t="inlineStr">
        <is>
          <t>O</t>
        </is>
      </c>
      <c r="AX27" s="24" t="inlineStr">
        <is>
          <t>O</t>
        </is>
      </c>
      <c r="AY27" s="24" t="inlineStr">
        <is>
          <t>O</t>
        </is>
      </c>
      <c r="AZ27" s="24" t="inlineStr">
        <is>
          <t>O</t>
        </is>
      </c>
      <c r="BA27" s="24" t="inlineStr">
        <is>
          <t>O</t>
        </is>
      </c>
      <c r="BB27" s="24" t="inlineStr">
        <is>
          <t>O</t>
        </is>
      </c>
      <c r="BC27" s="24" t="inlineStr">
        <is>
          <t>O</t>
        </is>
      </c>
      <c r="BD27" s="24" t="inlineStr">
        <is>
          <t>O</t>
        </is>
      </c>
      <c r="BE27" s="24" t="inlineStr">
        <is>
          <t>O</t>
        </is>
      </c>
      <c r="BF27" s="24" t="inlineStr">
        <is>
          <t>O</t>
        </is>
      </c>
      <c r="BG27" s="24" t="inlineStr">
        <is>
          <t>O</t>
        </is>
      </c>
      <c r="BH27" s="24" t="inlineStr">
        <is>
          <t>O</t>
        </is>
      </c>
      <c r="BI27" s="24" t="inlineStr">
        <is>
          <t>O</t>
        </is>
      </c>
      <c r="BJ27" s="24" t="inlineStr">
        <is>
          <t>O</t>
        </is>
      </c>
      <c r="BK27" s="24" t="inlineStr">
        <is>
          <t>O</t>
        </is>
      </c>
      <c r="BL27" s="24" t="inlineStr">
        <is>
          <t>O</t>
        </is>
      </c>
      <c r="BM27" s="24" t="inlineStr">
        <is>
          <t>O</t>
        </is>
      </c>
      <c r="BN27" s="24" t="inlineStr">
        <is>
          <t>O</t>
        </is>
      </c>
      <c r="BO27" s="24" t="inlineStr">
        <is>
          <t>O</t>
        </is>
      </c>
      <c r="BP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</row>
    <row r="29">
      <c r="A29" s="16" t="n"/>
      <c r="B29" s="18" t="inlineStr">
        <is>
          <t>status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  <c r="AK30" s="24" t="inlineStr">
        <is>
          <t>O</t>
        </is>
      </c>
      <c r="AL30" s="24" t="inlineStr">
        <is>
          <t>O</t>
        </is>
      </c>
      <c r="AM30" s="24" t="inlineStr">
        <is>
          <t>O</t>
        </is>
      </c>
      <c r="AN30" s="24" t="inlineStr">
        <is>
          <t>O</t>
        </is>
      </c>
      <c r="AO30" s="24" t="inlineStr">
        <is>
          <t>O</t>
        </is>
      </c>
      <c r="AP30" s="24" t="inlineStr">
        <is>
          <t>O</t>
        </is>
      </c>
      <c r="AQ30" s="24" t="inlineStr">
        <is>
          <t>O</t>
        </is>
      </c>
      <c r="AR30" s="24" t="inlineStr">
        <is>
          <t>O</t>
        </is>
      </c>
      <c r="AS30" s="24" t="inlineStr">
        <is>
          <t>O</t>
        </is>
      </c>
      <c r="AT30" s="24" t="inlineStr">
        <is>
          <t>O</t>
        </is>
      </c>
      <c r="AU30" s="24" t="inlineStr">
        <is>
          <t>O</t>
        </is>
      </c>
      <c r="AV30" s="24" t="inlineStr">
        <is>
          <t>O</t>
        </is>
      </c>
      <c r="AW30" s="24" t="inlineStr">
        <is>
          <t>O</t>
        </is>
      </c>
      <c r="AX30" s="24" t="inlineStr">
        <is>
          <t>O</t>
        </is>
      </c>
      <c r="AY30" s="24" t="inlineStr">
        <is>
          <t>O</t>
        </is>
      </c>
      <c r="AZ30" s="24" t="inlineStr">
        <is>
          <t>O</t>
        </is>
      </c>
      <c r="BA30" s="24" t="inlineStr">
        <is>
          <t>O</t>
        </is>
      </c>
      <c r="BB30" s="24" t="inlineStr">
        <is>
          <t>O</t>
        </is>
      </c>
      <c r="BC30" s="24" t="inlineStr">
        <is>
          <t>O</t>
        </is>
      </c>
      <c r="BD30" s="24" t="inlineStr">
        <is>
          <t>O</t>
        </is>
      </c>
      <c r="BE30" s="24" t="inlineStr">
        <is>
          <t>O</t>
        </is>
      </c>
      <c r="BF30" s="24" t="inlineStr">
        <is>
          <t>O</t>
        </is>
      </c>
      <c r="BG30" s="24" t="inlineStr">
        <is>
          <t>O</t>
        </is>
      </c>
      <c r="BH30" s="24" t="inlineStr">
        <is>
          <t>O</t>
        </is>
      </c>
      <c r="BI30" s="24" t="inlineStr">
        <is>
          <t>O</t>
        </is>
      </c>
      <c r="BJ30" s="24" t="inlineStr">
        <is>
          <t>O</t>
        </is>
      </c>
      <c r="BK30" s="24" t="inlineStr">
        <is>
          <t>O</t>
        </is>
      </c>
      <c r="BL30" s="24" t="inlineStr">
        <is>
          <t>O</t>
        </is>
      </c>
      <c r="BM30" s="24" t="inlineStr">
        <is>
          <t>O</t>
        </is>
      </c>
      <c r="BN30" s="24" t="inlineStr">
        <is>
          <t>O</t>
        </is>
      </c>
      <c r="BO30" s="24" t="inlineStr">
        <is>
          <t>O</t>
        </is>
      </c>
      <c r="BP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</row>
    <row r="32">
      <c r="A32" s="16" t="n"/>
      <c r="B32" s="18" t="inlineStr">
        <is>
          <t>sort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  <c r="AF33" s="24" t="inlineStr">
        <is>
          <t>O</t>
        </is>
      </c>
      <c r="AG33" s="24" t="inlineStr">
        <is>
          <t>O</t>
        </is>
      </c>
      <c r="AH33" s="24" t="inlineStr">
        <is>
          <t>O</t>
        </is>
      </c>
      <c r="AI33" s="24" t="inlineStr">
        <is>
          <t>O</t>
        </is>
      </c>
      <c r="AJ33" s="24" t="inlineStr">
        <is>
          <t>O</t>
        </is>
      </c>
      <c r="AK33" s="24" t="inlineStr">
        <is>
          <t>O</t>
        </is>
      </c>
      <c r="AL33" s="24" t="inlineStr">
        <is>
          <t>O</t>
        </is>
      </c>
      <c r="AM33" s="24" t="inlineStr">
        <is>
          <t>O</t>
        </is>
      </c>
      <c r="AN33" s="24" t="inlineStr">
        <is>
          <t>O</t>
        </is>
      </c>
      <c r="AO33" s="24" t="inlineStr">
        <is>
          <t>O</t>
        </is>
      </c>
      <c r="AP33" s="24" t="inlineStr">
        <is>
          <t>O</t>
        </is>
      </c>
      <c r="AQ33" s="24" t="inlineStr">
        <is>
          <t>O</t>
        </is>
      </c>
      <c r="AR33" s="24" t="inlineStr">
        <is>
          <t>O</t>
        </is>
      </c>
      <c r="AS33" s="24" t="inlineStr">
        <is>
          <t>O</t>
        </is>
      </c>
      <c r="AT33" s="24" t="inlineStr">
        <is>
          <t>O</t>
        </is>
      </c>
      <c r="AU33" s="24" t="inlineStr">
        <is>
          <t>O</t>
        </is>
      </c>
      <c r="AV33" s="24" t="inlineStr">
        <is>
          <t>O</t>
        </is>
      </c>
      <c r="AW33" s="24" t="inlineStr">
        <is>
          <t>O</t>
        </is>
      </c>
      <c r="AX33" s="24" t="inlineStr">
        <is>
          <t>O</t>
        </is>
      </c>
      <c r="AY33" s="24" t="inlineStr">
        <is>
          <t>O</t>
        </is>
      </c>
      <c r="AZ33" s="24" t="inlineStr">
        <is>
          <t>O</t>
        </is>
      </c>
      <c r="BA33" s="24" t="inlineStr">
        <is>
          <t>O</t>
        </is>
      </c>
      <c r="BB33" s="24" t="inlineStr">
        <is>
          <t>O</t>
        </is>
      </c>
      <c r="BC33" s="24" t="inlineStr">
        <is>
          <t>O</t>
        </is>
      </c>
      <c r="BD33" s="24" t="inlineStr">
        <is>
          <t>O</t>
        </is>
      </c>
      <c r="BE33" s="24" t="inlineStr">
        <is>
          <t>O</t>
        </is>
      </c>
      <c r="BF33" s="24" t="inlineStr">
        <is>
          <t>O</t>
        </is>
      </c>
      <c r="BG33" s="24" t="inlineStr">
        <is>
          <t>O</t>
        </is>
      </c>
      <c r="BH33" s="24" t="inlineStr">
        <is>
          <t>O</t>
        </is>
      </c>
      <c r="BI33" s="24" t="inlineStr">
        <is>
          <t>O</t>
        </is>
      </c>
      <c r="BJ33" s="24" t="inlineStr">
        <is>
          <t>O</t>
        </is>
      </c>
      <c r="BK33" s="24" t="inlineStr">
        <is>
          <t>O</t>
        </is>
      </c>
      <c r="BL33" s="24" t="inlineStr">
        <is>
          <t>O</t>
        </is>
      </c>
      <c r="BM33" s="24" t="inlineStr">
        <is>
          <t>O</t>
        </is>
      </c>
      <c r="BN33" s="24" t="inlineStr">
        <is>
          <t>O</t>
        </is>
      </c>
      <c r="BO33" s="24" t="inlineStr">
        <is>
          <t>O</t>
        </is>
      </c>
      <c r="BP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</row>
    <row r="35">
      <c r="A35" s="16" t="n"/>
      <c r="B35" s="18" t="inlineStr">
        <is>
          <t>limit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  <c r="AA36" s="24" t="inlineStr">
        <is>
          <t>O</t>
        </is>
      </c>
      <c r="AB36" s="24" t="inlineStr">
        <is>
          <t>O</t>
        </is>
      </c>
      <c r="AC36" s="24" t="inlineStr">
        <is>
          <t>O</t>
        </is>
      </c>
      <c r="AD36" s="24" t="inlineStr">
        <is>
          <t>O</t>
        </is>
      </c>
      <c r="AE36" s="24" t="inlineStr">
        <is>
          <t>O</t>
        </is>
      </c>
      <c r="AF36" s="24" t="inlineStr">
        <is>
          <t>O</t>
        </is>
      </c>
      <c r="AG36" s="24" t="inlineStr">
        <is>
          <t>O</t>
        </is>
      </c>
      <c r="AH36" s="24" t="inlineStr">
        <is>
          <t>O</t>
        </is>
      </c>
      <c r="AI36" s="24" t="inlineStr">
        <is>
          <t>O</t>
        </is>
      </c>
      <c r="AJ36" s="24" t="inlineStr">
        <is>
          <t>O</t>
        </is>
      </c>
      <c r="AK36" s="24" t="inlineStr">
        <is>
          <t>O</t>
        </is>
      </c>
      <c r="AL36" s="24" t="inlineStr">
        <is>
          <t>O</t>
        </is>
      </c>
      <c r="AM36" s="24" t="inlineStr">
        <is>
          <t>O</t>
        </is>
      </c>
      <c r="AN36" s="24" t="inlineStr">
        <is>
          <t>O</t>
        </is>
      </c>
      <c r="AO36" s="24" t="inlineStr">
        <is>
          <t>O</t>
        </is>
      </c>
      <c r="AP36" s="24" t="inlineStr">
        <is>
          <t>O</t>
        </is>
      </c>
      <c r="AQ36" s="24" t="inlineStr">
        <is>
          <t>O</t>
        </is>
      </c>
      <c r="AR36" s="24" t="inlineStr">
        <is>
          <t>O</t>
        </is>
      </c>
      <c r="AS36" s="24" t="inlineStr">
        <is>
          <t>O</t>
        </is>
      </c>
      <c r="AT36" s="24" t="inlineStr">
        <is>
          <t>O</t>
        </is>
      </c>
      <c r="AU36" s="24" t="inlineStr">
        <is>
          <t>O</t>
        </is>
      </c>
      <c r="AV36" s="24" t="inlineStr">
        <is>
          <t>O</t>
        </is>
      </c>
      <c r="AW36" s="24" t="inlineStr">
        <is>
          <t>O</t>
        </is>
      </c>
      <c r="AX36" s="24" t="inlineStr">
        <is>
          <t>O</t>
        </is>
      </c>
      <c r="AY36" s="24" t="inlineStr">
        <is>
          <t>O</t>
        </is>
      </c>
      <c r="AZ36" s="24" t="inlineStr">
        <is>
          <t>O</t>
        </is>
      </c>
      <c r="BA36" s="24" t="inlineStr">
        <is>
          <t>O</t>
        </is>
      </c>
      <c r="BB36" s="24" t="inlineStr">
        <is>
          <t>O</t>
        </is>
      </c>
      <c r="BC36" s="24" t="inlineStr">
        <is>
          <t>O</t>
        </is>
      </c>
      <c r="BD36" s="24" t="inlineStr">
        <is>
          <t>O</t>
        </is>
      </c>
      <c r="BE36" s="24" t="inlineStr">
        <is>
          <t>O</t>
        </is>
      </c>
      <c r="BF36" s="24" t="inlineStr">
        <is>
          <t>O</t>
        </is>
      </c>
      <c r="BG36" s="24" t="inlineStr">
        <is>
          <t>O</t>
        </is>
      </c>
      <c r="BH36" s="24" t="inlineStr">
        <is>
          <t>O</t>
        </is>
      </c>
      <c r="BI36" s="24" t="inlineStr">
        <is>
          <t>O</t>
        </is>
      </c>
      <c r="BJ36" s="24" t="inlineStr">
        <is>
          <t>O</t>
        </is>
      </c>
      <c r="BK36" s="24" t="inlineStr">
        <is>
          <t>O</t>
        </is>
      </c>
      <c r="BL36" s="24" t="inlineStr">
        <is>
          <t>O</t>
        </is>
      </c>
      <c r="BM36" s="24" t="inlineStr">
        <is>
          <t>O</t>
        </is>
      </c>
      <c r="BN36" s="24" t="inlineStr">
        <is>
          <t>O</t>
        </is>
      </c>
      <c r="BO36" s="24" t="inlineStr">
        <is>
          <t>O</t>
        </is>
      </c>
      <c r="BP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</row>
    <row r="38">
      <c r="A38" s="16" t="n"/>
      <c r="B38" s="18" t="inlineStr">
        <is>
          <t>expectedCount</t>
        </is>
      </c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</row>
    <row r="39">
      <c r="A39" s="16" t="n"/>
      <c r="B39" s="19" t="n"/>
      <c r="C39" s="19" t="n"/>
      <c r="D39" s="23" t="inlineStr">
        <is>
          <t>value per TC</t>
        </is>
      </c>
      <c r="E39" s="22" t="n"/>
      <c r="F39" s="24" t="inlineStr">
        <is>
          <t>O</t>
        </is>
      </c>
      <c r="G39" s="24" t="inlineStr">
        <is>
          <t>O</t>
        </is>
      </c>
      <c r="H39" s="24" t="inlineStr">
        <is>
          <t>O</t>
        </is>
      </c>
      <c r="I39" s="24" t="inlineStr">
        <is>
          <t>O</t>
        </is>
      </c>
      <c r="J39" s="24" t="inlineStr">
        <is>
          <t>O</t>
        </is>
      </c>
      <c r="K39" s="24" t="inlineStr">
        <is>
          <t>O</t>
        </is>
      </c>
      <c r="L39" s="24" t="inlineStr">
        <is>
          <t>O</t>
        </is>
      </c>
      <c r="M39" s="24" t="inlineStr">
        <is>
          <t>O</t>
        </is>
      </c>
      <c r="N39" s="24" t="inlineStr">
        <is>
          <t>O</t>
        </is>
      </c>
      <c r="O39" s="24" t="inlineStr">
        <is>
          <t>O</t>
        </is>
      </c>
      <c r="P39" s="24" t="inlineStr">
        <is>
          <t>O</t>
        </is>
      </c>
      <c r="Q39" s="24" t="inlineStr">
        <is>
          <t>O</t>
        </is>
      </c>
      <c r="R39" s="24" t="inlineStr">
        <is>
          <t>O</t>
        </is>
      </c>
      <c r="S39" s="24" t="inlineStr">
        <is>
          <t>O</t>
        </is>
      </c>
      <c r="T39" s="24" t="inlineStr">
        <is>
          <t>O</t>
        </is>
      </c>
      <c r="U39" s="24" t="inlineStr">
        <is>
          <t>O</t>
        </is>
      </c>
      <c r="V39" s="24" t="inlineStr">
        <is>
          <t>O</t>
        </is>
      </c>
      <c r="W39" s="24" t="inlineStr">
        <is>
          <t>O</t>
        </is>
      </c>
      <c r="X39" s="24" t="inlineStr">
        <is>
          <t>O</t>
        </is>
      </c>
      <c r="Y39" s="24" t="inlineStr">
        <is>
          <t>O</t>
        </is>
      </c>
      <c r="Z39" s="24" t="inlineStr">
        <is>
          <t>O</t>
        </is>
      </c>
      <c r="AA39" s="24" t="inlineStr">
        <is>
          <t>O</t>
        </is>
      </c>
      <c r="AB39" s="24" t="inlineStr">
        <is>
          <t>O</t>
        </is>
      </c>
      <c r="AC39" s="24" t="inlineStr">
        <is>
          <t>O</t>
        </is>
      </c>
      <c r="AD39" s="24" t="inlineStr">
        <is>
          <t>O</t>
        </is>
      </c>
      <c r="AE39" s="24" t="inlineStr">
        <is>
          <t>O</t>
        </is>
      </c>
      <c r="AF39" s="24" t="inlineStr">
        <is>
          <t>O</t>
        </is>
      </c>
      <c r="AG39" s="24" t="inlineStr">
        <is>
          <t>O</t>
        </is>
      </c>
      <c r="AH39" s="24" t="inlineStr">
        <is>
          <t>O</t>
        </is>
      </c>
      <c r="AI39" s="24" t="inlineStr">
        <is>
          <t>O</t>
        </is>
      </c>
      <c r="AJ39" s="24" t="inlineStr">
        <is>
          <t>O</t>
        </is>
      </c>
      <c r="AK39" s="24" t="inlineStr">
        <is>
          <t>O</t>
        </is>
      </c>
      <c r="AL39" s="24" t="inlineStr">
        <is>
          <t>O</t>
        </is>
      </c>
      <c r="AM39" s="24" t="inlineStr">
        <is>
          <t>O</t>
        </is>
      </c>
      <c r="AN39" s="24" t="inlineStr">
        <is>
          <t>O</t>
        </is>
      </c>
      <c r="AO39" s="24" t="inlineStr">
        <is>
          <t>O</t>
        </is>
      </c>
      <c r="AP39" s="24" t="inlineStr">
        <is>
          <t>O</t>
        </is>
      </c>
      <c r="AQ39" s="24" t="inlineStr">
        <is>
          <t>O</t>
        </is>
      </c>
      <c r="AR39" s="24" t="inlineStr">
        <is>
          <t>O</t>
        </is>
      </c>
      <c r="AS39" s="24" t="inlineStr">
        <is>
          <t>O</t>
        </is>
      </c>
      <c r="AT39" s="24" t="inlineStr">
        <is>
          <t>O</t>
        </is>
      </c>
      <c r="AU39" s="24" t="inlineStr">
        <is>
          <t>O</t>
        </is>
      </c>
      <c r="AV39" s="24" t="inlineStr">
        <is>
          <t>O</t>
        </is>
      </c>
      <c r="AW39" s="24" t="inlineStr">
        <is>
          <t>O</t>
        </is>
      </c>
      <c r="AX39" s="24" t="inlineStr">
        <is>
          <t>O</t>
        </is>
      </c>
      <c r="AY39" s="24" t="inlineStr">
        <is>
          <t>O</t>
        </is>
      </c>
      <c r="AZ39" s="24" t="inlineStr">
        <is>
          <t>O</t>
        </is>
      </c>
      <c r="BA39" s="24" t="inlineStr">
        <is>
          <t>O</t>
        </is>
      </c>
      <c r="BB39" s="24" t="inlineStr">
        <is>
          <t>O</t>
        </is>
      </c>
      <c r="BC39" s="24" t="inlineStr">
        <is>
          <t>O</t>
        </is>
      </c>
      <c r="BD39" s="24" t="inlineStr">
        <is>
          <t>O</t>
        </is>
      </c>
      <c r="BE39" s="24" t="inlineStr">
        <is>
          <t>O</t>
        </is>
      </c>
      <c r="BF39" s="24" t="inlineStr">
        <is>
          <t>O</t>
        </is>
      </c>
      <c r="BG39" s="24" t="inlineStr">
        <is>
          <t>O</t>
        </is>
      </c>
      <c r="BH39" s="24" t="inlineStr">
        <is>
          <t>O</t>
        </is>
      </c>
      <c r="BI39" s="24" t="inlineStr">
        <is>
          <t>O</t>
        </is>
      </c>
      <c r="BJ39" s="24" t="inlineStr">
        <is>
          <t>O</t>
        </is>
      </c>
      <c r="BK39" s="24" t="inlineStr">
        <is>
          <t>O</t>
        </is>
      </c>
      <c r="BL39" s="24" t="inlineStr">
        <is>
          <t>O</t>
        </is>
      </c>
      <c r="BM39" s="24" t="inlineStr">
        <is>
          <t>O</t>
        </is>
      </c>
      <c r="BN39" s="24" t="inlineStr">
        <is>
          <t>O</t>
        </is>
      </c>
      <c r="BO39" s="24" t="inlineStr">
        <is>
          <t>O</t>
        </is>
      </c>
      <c r="BP39" s="24" t="inlineStr">
        <is>
          <t>O</t>
        </is>
      </c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</row>
    <row r="42">
      <c r="A42" s="15" t="inlineStr">
        <is>
          <t>Confirm</t>
        </is>
      </c>
      <c r="B42" s="18" t="inlineStr">
        <is>
          <t>Return</t>
        </is>
      </c>
      <c r="C42" s="19" t="n"/>
      <c r="D42" s="19" t="n"/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</row>
    <row r="43">
      <c r="A43" s="16" t="n"/>
      <c r="B43" s="19" t="n"/>
      <c r="C43" s="19" t="n"/>
      <c r="D43" s="23" t="inlineStr">
        <is>
          <t>Assertion verified</t>
        </is>
      </c>
      <c r="E43" s="22" t="n"/>
      <c r="F43" s="24" t="inlineStr">
        <is>
          <t>O</t>
        </is>
      </c>
      <c r="G43" s="24" t="inlineStr">
        <is>
          <t>O</t>
        </is>
      </c>
      <c r="H43" s="24" t="inlineStr">
        <is>
          <t>O</t>
        </is>
      </c>
      <c r="I43" s="24" t="inlineStr">
        <is>
          <t>O</t>
        </is>
      </c>
      <c r="J43" s="24" t="inlineStr">
        <is>
          <t>O</t>
        </is>
      </c>
      <c r="K43" s="24" t="inlineStr">
        <is>
          <t>O</t>
        </is>
      </c>
      <c r="L43" s="24" t="inlineStr">
        <is>
          <t>O</t>
        </is>
      </c>
      <c r="M43" s="24" t="inlineStr">
        <is>
          <t>O</t>
        </is>
      </c>
      <c r="N43" s="24" t="inlineStr">
        <is>
          <t>O</t>
        </is>
      </c>
      <c r="O43" s="24" t="inlineStr">
        <is>
          <t>O</t>
        </is>
      </c>
      <c r="P43" s="24" t="inlineStr">
        <is>
          <t>O</t>
        </is>
      </c>
      <c r="Q43" s="24" t="inlineStr">
        <is>
          <t>O</t>
        </is>
      </c>
      <c r="R43" s="24" t="inlineStr">
        <is>
          <t>O</t>
        </is>
      </c>
      <c r="S43" s="24" t="inlineStr">
        <is>
          <t>O</t>
        </is>
      </c>
      <c r="T43" s="24" t="inlineStr">
        <is>
          <t>O</t>
        </is>
      </c>
      <c r="U43" s="24" t="inlineStr">
        <is>
          <t>O</t>
        </is>
      </c>
      <c r="V43" s="24" t="inlineStr">
        <is>
          <t>O</t>
        </is>
      </c>
      <c r="W43" s="24" t="inlineStr">
        <is>
          <t>O</t>
        </is>
      </c>
      <c r="X43" s="24" t="inlineStr">
        <is>
          <t>O</t>
        </is>
      </c>
      <c r="Y43" s="24" t="inlineStr">
        <is>
          <t>O</t>
        </is>
      </c>
      <c r="Z43" s="24" t="inlineStr">
        <is>
          <t>O</t>
        </is>
      </c>
      <c r="AA43" s="24" t="inlineStr">
        <is>
          <t>O</t>
        </is>
      </c>
      <c r="AB43" s="24" t="inlineStr">
        <is>
          <t>O</t>
        </is>
      </c>
      <c r="AC43" s="24" t="inlineStr">
        <is>
          <t>O</t>
        </is>
      </c>
      <c r="AD43" s="24" t="inlineStr">
        <is>
          <t>O</t>
        </is>
      </c>
      <c r="AE43" s="24" t="inlineStr">
        <is>
          <t>O</t>
        </is>
      </c>
      <c r="AF43" s="24" t="inlineStr">
        <is>
          <t>O</t>
        </is>
      </c>
      <c r="AG43" s="24" t="inlineStr">
        <is>
          <t>O</t>
        </is>
      </c>
      <c r="AH43" s="24" t="inlineStr">
        <is>
          <t>O</t>
        </is>
      </c>
      <c r="AI43" s="24" t="inlineStr">
        <is>
          <t>O</t>
        </is>
      </c>
      <c r="AJ43" s="24" t="inlineStr">
        <is>
          <t>O</t>
        </is>
      </c>
      <c r="AK43" s="24" t="inlineStr">
        <is>
          <t>O</t>
        </is>
      </c>
      <c r="AL43" s="24" t="inlineStr">
        <is>
          <t>O</t>
        </is>
      </c>
      <c r="AM43" s="24" t="inlineStr">
        <is>
          <t>O</t>
        </is>
      </c>
      <c r="AN43" s="24" t="inlineStr">
        <is>
          <t>O</t>
        </is>
      </c>
      <c r="AO43" s="24" t="inlineStr">
        <is>
          <t>O</t>
        </is>
      </c>
      <c r="AP43" s="24" t="inlineStr">
        <is>
          <t>O</t>
        </is>
      </c>
      <c r="AQ43" s="24" t="inlineStr">
        <is>
          <t>O</t>
        </is>
      </c>
      <c r="AR43" s="24" t="inlineStr">
        <is>
          <t>O</t>
        </is>
      </c>
      <c r="AS43" s="24" t="inlineStr">
        <is>
          <t>O</t>
        </is>
      </c>
      <c r="AT43" s="24" t="inlineStr">
        <is>
          <t>O</t>
        </is>
      </c>
      <c r="AU43" s="24" t="inlineStr">
        <is>
          <t>O</t>
        </is>
      </c>
      <c r="AV43" s="24" t="inlineStr">
        <is>
          <t>O</t>
        </is>
      </c>
      <c r="AW43" s="24" t="inlineStr">
        <is>
          <t>O</t>
        </is>
      </c>
      <c r="AX43" s="24" t="inlineStr">
        <is>
          <t>O</t>
        </is>
      </c>
      <c r="AY43" s="24" t="inlineStr">
        <is>
          <t>O</t>
        </is>
      </c>
      <c r="AZ43" s="24" t="inlineStr">
        <is>
          <t>O</t>
        </is>
      </c>
      <c r="BA43" s="24" t="inlineStr">
        <is>
          <t>O</t>
        </is>
      </c>
      <c r="BB43" s="24" t="inlineStr">
        <is>
          <t>O</t>
        </is>
      </c>
      <c r="BC43" s="24" t="inlineStr">
        <is>
          <t>O</t>
        </is>
      </c>
      <c r="BD43" s="24" t="inlineStr">
        <is>
          <t>O</t>
        </is>
      </c>
      <c r="BE43" s="24" t="inlineStr">
        <is>
          <t>O</t>
        </is>
      </c>
      <c r="BF43" s="24" t="inlineStr">
        <is>
          <t>O</t>
        </is>
      </c>
      <c r="BG43" s="24" t="inlineStr">
        <is>
          <t>O</t>
        </is>
      </c>
      <c r="BH43" s="24" t="inlineStr">
        <is>
          <t>O</t>
        </is>
      </c>
      <c r="BI43" s="24" t="inlineStr">
        <is>
          <t>O</t>
        </is>
      </c>
      <c r="BJ43" s="24" t="inlineStr">
        <is>
          <t>O</t>
        </is>
      </c>
      <c r="BK43" s="24" t="inlineStr">
        <is>
          <t>O</t>
        </is>
      </c>
      <c r="BL43" s="24" t="inlineStr">
        <is>
          <t>O</t>
        </is>
      </c>
      <c r="BM43" s="24" t="inlineStr">
        <is>
          <t>O</t>
        </is>
      </c>
      <c r="BN43" s="24" t="inlineStr">
        <is>
          <t>O</t>
        </is>
      </c>
      <c r="BO43" s="24" t="inlineStr">
        <is>
          <t>O</t>
        </is>
      </c>
      <c r="BP43" s="24" t="inlineStr">
        <is>
          <t>O</t>
        </is>
      </c>
    </row>
    <row r="44">
      <c r="A44" s="16" t="n"/>
      <c r="B44" s="19" t="n"/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</row>
    <row r="45">
      <c r="A45" s="16" t="n"/>
      <c r="B45" s="18" t="inlineStr">
        <is>
          <t>Exception</t>
        </is>
      </c>
      <c r="C45" s="19" t="n"/>
      <c r="D45" s="19" t="n"/>
      <c r="E45" s="2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</row>
    <row r="47">
      <c r="A47" s="16" t="n"/>
      <c r="B47" s="18" t="inlineStr">
        <is>
          <t>Log message</t>
        </is>
      </c>
      <c r="C47" s="19" t="n"/>
      <c r="D47" s="19" t="n"/>
      <c r="E47" s="22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</row>
    <row r="48">
      <c r="A48" s="16" t="n"/>
      <c r="B48" s="19" t="n"/>
      <c r="C48" s="19" t="n"/>
      <c r="D48" s="19" t="n"/>
      <c r="E48" s="22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</row>
    <row r="49">
      <c r="A49" s="16" t="n"/>
      <c r="B49" s="19" t="n"/>
      <c r="C49" s="19" t="n"/>
      <c r="D49" s="19" t="n"/>
      <c r="E49" s="2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</row>
    <row r="50">
      <c r="A50" s="15" t="inlineStr">
        <is>
          <t>Result</t>
        </is>
      </c>
      <c r="B50" s="17" t="inlineStr">
        <is>
          <t>Type(N : Normal, A : Abnormal, B : Boundary)</t>
        </is>
      </c>
      <c r="C50" s="4" t="n"/>
      <c r="D50" s="4" t="n"/>
      <c r="E50" s="4" t="n"/>
      <c r="F50" s="25" t="inlineStr">
        <is>
          <t>N</t>
        </is>
      </c>
      <c r="G50" s="25" t="inlineStr">
        <is>
          <t>N</t>
        </is>
      </c>
      <c r="H50" s="25" t="inlineStr">
        <is>
          <t>N</t>
        </is>
      </c>
      <c r="I50" s="25" t="inlineStr">
        <is>
          <t>N</t>
        </is>
      </c>
      <c r="J50" s="25" t="inlineStr">
        <is>
          <t>N</t>
        </is>
      </c>
      <c r="K50" s="25" t="inlineStr">
        <is>
          <t>N</t>
        </is>
      </c>
      <c r="L50" s="25" t="inlineStr">
        <is>
          <t>N</t>
        </is>
      </c>
      <c r="M50" s="25" t="inlineStr">
        <is>
          <t>N</t>
        </is>
      </c>
      <c r="N50" s="25" t="inlineStr">
        <is>
          <t>N</t>
        </is>
      </c>
      <c r="O50" s="25" t="inlineStr">
        <is>
          <t>N</t>
        </is>
      </c>
      <c r="P50" s="25" t="inlineStr">
        <is>
          <t>N</t>
        </is>
      </c>
      <c r="Q50" s="25" t="inlineStr">
        <is>
          <t>N</t>
        </is>
      </c>
      <c r="R50" s="25" t="inlineStr">
        <is>
          <t>N</t>
        </is>
      </c>
      <c r="S50" s="25" t="inlineStr">
        <is>
          <t>N</t>
        </is>
      </c>
      <c r="T50" s="25" t="inlineStr">
        <is>
          <t>N</t>
        </is>
      </c>
      <c r="U50" s="25" t="inlineStr">
        <is>
          <t>N</t>
        </is>
      </c>
      <c r="V50" s="25" t="inlineStr">
        <is>
          <t>N</t>
        </is>
      </c>
      <c r="W50" s="25" t="inlineStr">
        <is>
          <t>N</t>
        </is>
      </c>
      <c r="X50" s="25" t="inlineStr">
        <is>
          <t>N</t>
        </is>
      </c>
      <c r="Y50" s="25" t="inlineStr">
        <is>
          <t>N</t>
        </is>
      </c>
      <c r="Z50" s="25" t="inlineStr">
        <is>
          <t>N</t>
        </is>
      </c>
      <c r="AA50" s="25" t="inlineStr">
        <is>
          <t>N</t>
        </is>
      </c>
      <c r="AB50" s="25" t="inlineStr">
        <is>
          <t>N</t>
        </is>
      </c>
      <c r="AC50" s="25" t="inlineStr">
        <is>
          <t>N</t>
        </is>
      </c>
      <c r="AD50" s="25" t="inlineStr">
        <is>
          <t>N</t>
        </is>
      </c>
      <c r="AE50" s="25" t="inlineStr">
        <is>
          <t>N</t>
        </is>
      </c>
      <c r="AF50" s="25" t="inlineStr">
        <is>
          <t>N</t>
        </is>
      </c>
      <c r="AG50" s="25" t="inlineStr">
        <is>
          <t>N</t>
        </is>
      </c>
      <c r="AH50" s="25" t="inlineStr">
        <is>
          <t>N</t>
        </is>
      </c>
      <c r="AI50" s="25" t="inlineStr">
        <is>
          <t>N</t>
        </is>
      </c>
      <c r="AJ50" s="25" t="inlineStr">
        <is>
          <t>N</t>
        </is>
      </c>
      <c r="AK50" s="25" t="inlineStr">
        <is>
          <t>N</t>
        </is>
      </c>
      <c r="AL50" s="25" t="inlineStr">
        <is>
          <t>N</t>
        </is>
      </c>
      <c r="AM50" s="25" t="inlineStr">
        <is>
          <t>N</t>
        </is>
      </c>
      <c r="AN50" s="25" t="inlineStr">
        <is>
          <t>N</t>
        </is>
      </c>
      <c r="AO50" s="25" t="inlineStr">
        <is>
          <t>N</t>
        </is>
      </c>
      <c r="AP50" s="25" t="inlineStr">
        <is>
          <t>N</t>
        </is>
      </c>
      <c r="AQ50" s="25" t="inlineStr">
        <is>
          <t>N</t>
        </is>
      </c>
      <c r="AR50" s="25" t="inlineStr">
        <is>
          <t>N</t>
        </is>
      </c>
      <c r="AS50" s="25" t="inlineStr">
        <is>
          <t>N</t>
        </is>
      </c>
      <c r="AT50" s="25" t="inlineStr">
        <is>
          <t>N</t>
        </is>
      </c>
      <c r="AU50" s="25" t="inlineStr">
        <is>
          <t>N</t>
        </is>
      </c>
      <c r="AV50" s="25" t="inlineStr">
        <is>
          <t>N</t>
        </is>
      </c>
      <c r="AW50" s="25" t="inlineStr">
        <is>
          <t>N</t>
        </is>
      </c>
      <c r="AX50" s="25" t="inlineStr">
        <is>
          <t>N</t>
        </is>
      </c>
      <c r="AY50" s="25" t="inlineStr">
        <is>
          <t>N</t>
        </is>
      </c>
      <c r="AZ50" s="25" t="inlineStr">
        <is>
          <t>N</t>
        </is>
      </c>
      <c r="BA50" s="25" t="inlineStr">
        <is>
          <t>N</t>
        </is>
      </c>
      <c r="BB50" s="25" t="inlineStr">
        <is>
          <t>N</t>
        </is>
      </c>
      <c r="BC50" s="25" t="inlineStr">
        <is>
          <t>N</t>
        </is>
      </c>
      <c r="BD50" s="25" t="inlineStr">
        <is>
          <t>N</t>
        </is>
      </c>
      <c r="BE50" s="25" t="inlineStr">
        <is>
          <t>N</t>
        </is>
      </c>
      <c r="BF50" s="25" t="inlineStr">
        <is>
          <t>N</t>
        </is>
      </c>
      <c r="BG50" s="25" t="inlineStr">
        <is>
          <t>N</t>
        </is>
      </c>
      <c r="BH50" s="25" t="inlineStr">
        <is>
          <t>N</t>
        </is>
      </c>
      <c r="BI50" s="25" t="inlineStr">
        <is>
          <t>N</t>
        </is>
      </c>
      <c r="BJ50" s="25" t="inlineStr">
        <is>
          <t>N</t>
        </is>
      </c>
      <c r="BK50" s="25" t="inlineStr">
        <is>
          <t>N</t>
        </is>
      </c>
      <c r="BL50" s="25" t="inlineStr">
        <is>
          <t>N</t>
        </is>
      </c>
      <c r="BM50" s="25" t="inlineStr">
        <is>
          <t>N</t>
        </is>
      </c>
      <c r="BN50" s="25" t="inlineStr">
        <is>
          <t>N</t>
        </is>
      </c>
      <c r="BO50" s="25" t="inlineStr">
        <is>
          <t>N</t>
        </is>
      </c>
      <c r="BP50" s="25" t="inlineStr">
        <is>
          <t>N</t>
        </is>
      </c>
    </row>
    <row r="51">
      <c r="A51" s="16" t="n"/>
      <c r="B51" s="17" t="inlineStr">
        <is>
          <t>Passed/Failed</t>
        </is>
      </c>
      <c r="C51" s="4" t="n"/>
      <c r="D51" s="4" t="n"/>
      <c r="E51" s="4" t="n"/>
      <c r="F51" s="25" t="inlineStr">
        <is>
          <t>P</t>
        </is>
      </c>
      <c r="G51" s="25" t="inlineStr">
        <is>
          <t>P</t>
        </is>
      </c>
      <c r="H51" s="25" t="inlineStr">
        <is>
          <t>P</t>
        </is>
      </c>
      <c r="I51" s="25" t="inlineStr">
        <is>
          <t>P</t>
        </is>
      </c>
      <c r="J51" s="25" t="inlineStr">
        <is>
          <t>P</t>
        </is>
      </c>
      <c r="K51" s="25" t="inlineStr">
        <is>
          <t>P</t>
        </is>
      </c>
      <c r="L51" s="25" t="inlineStr">
        <is>
          <t>P</t>
        </is>
      </c>
      <c r="M51" s="25" t="inlineStr">
        <is>
          <t>P</t>
        </is>
      </c>
      <c r="N51" s="25" t="inlineStr">
        <is>
          <t>P</t>
        </is>
      </c>
      <c r="O51" s="25" t="inlineStr">
        <is>
          <t>P</t>
        </is>
      </c>
      <c r="P51" s="25" t="inlineStr">
        <is>
          <t>P</t>
        </is>
      </c>
      <c r="Q51" s="25" t="inlineStr">
        <is>
          <t>P</t>
        </is>
      </c>
      <c r="R51" s="25" t="inlineStr">
        <is>
          <t>P</t>
        </is>
      </c>
      <c r="S51" s="25" t="inlineStr">
        <is>
          <t>P</t>
        </is>
      </c>
      <c r="T51" s="25" t="inlineStr">
        <is>
          <t>P</t>
        </is>
      </c>
      <c r="U51" s="25" t="inlineStr">
        <is>
          <t>P</t>
        </is>
      </c>
      <c r="V51" s="25" t="inlineStr">
        <is>
          <t>P</t>
        </is>
      </c>
      <c r="W51" s="25" t="inlineStr">
        <is>
          <t>P</t>
        </is>
      </c>
      <c r="X51" s="25" t="inlineStr">
        <is>
          <t>P</t>
        </is>
      </c>
      <c r="Y51" s="25" t="inlineStr">
        <is>
          <t>P</t>
        </is>
      </c>
      <c r="Z51" s="25" t="inlineStr">
        <is>
          <t>P</t>
        </is>
      </c>
      <c r="AA51" s="25" t="inlineStr">
        <is>
          <t>P</t>
        </is>
      </c>
      <c r="AB51" s="25" t="inlineStr">
        <is>
          <t>P</t>
        </is>
      </c>
      <c r="AC51" s="25" t="inlineStr">
        <is>
          <t>P</t>
        </is>
      </c>
      <c r="AD51" s="25" t="inlineStr">
        <is>
          <t>P</t>
        </is>
      </c>
      <c r="AE51" s="25" t="inlineStr">
        <is>
          <t>P</t>
        </is>
      </c>
      <c r="AF51" s="25" t="inlineStr">
        <is>
          <t>P</t>
        </is>
      </c>
      <c r="AG51" s="25" t="inlineStr">
        <is>
          <t>P</t>
        </is>
      </c>
      <c r="AH51" s="25" t="inlineStr">
        <is>
          <t>P</t>
        </is>
      </c>
      <c r="AI51" s="25" t="inlineStr">
        <is>
          <t>P</t>
        </is>
      </c>
      <c r="AJ51" s="25" t="inlineStr">
        <is>
          <t>P</t>
        </is>
      </c>
      <c r="AK51" s="25" t="inlineStr">
        <is>
          <t>P</t>
        </is>
      </c>
      <c r="AL51" s="25" t="inlineStr">
        <is>
          <t>P</t>
        </is>
      </c>
      <c r="AM51" s="25" t="inlineStr">
        <is>
          <t>P</t>
        </is>
      </c>
      <c r="AN51" s="25" t="inlineStr">
        <is>
          <t>P</t>
        </is>
      </c>
      <c r="AO51" s="25" t="inlineStr">
        <is>
          <t>P</t>
        </is>
      </c>
      <c r="AP51" s="25" t="inlineStr">
        <is>
          <t>P</t>
        </is>
      </c>
      <c r="AQ51" s="25" t="inlineStr">
        <is>
          <t>P</t>
        </is>
      </c>
      <c r="AR51" s="25" t="inlineStr">
        <is>
          <t>P</t>
        </is>
      </c>
      <c r="AS51" s="25" t="inlineStr">
        <is>
          <t>P</t>
        </is>
      </c>
      <c r="AT51" s="25" t="inlineStr">
        <is>
          <t>P</t>
        </is>
      </c>
      <c r="AU51" s="25" t="inlineStr">
        <is>
          <t>P</t>
        </is>
      </c>
      <c r="AV51" s="25" t="inlineStr">
        <is>
          <t>P</t>
        </is>
      </c>
      <c r="AW51" s="25" t="inlineStr">
        <is>
          <t>P</t>
        </is>
      </c>
      <c r="AX51" s="25" t="inlineStr">
        <is>
          <t>P</t>
        </is>
      </c>
      <c r="AY51" s="25" t="inlineStr">
        <is>
          <t>P</t>
        </is>
      </c>
      <c r="AZ51" s="25" t="inlineStr">
        <is>
          <t>P</t>
        </is>
      </c>
      <c r="BA51" s="25" t="inlineStr">
        <is>
          <t>P</t>
        </is>
      </c>
      <c r="BB51" s="25" t="inlineStr">
        <is>
          <t>P</t>
        </is>
      </c>
      <c r="BC51" s="25" t="inlineStr">
        <is>
          <t>P</t>
        </is>
      </c>
      <c r="BD51" s="25" t="inlineStr">
        <is>
          <t>P</t>
        </is>
      </c>
      <c r="BE51" s="25" t="inlineStr">
        <is>
          <t>P</t>
        </is>
      </c>
      <c r="BF51" s="25" t="inlineStr">
        <is>
          <t>P</t>
        </is>
      </c>
      <c r="BG51" s="25" t="inlineStr">
        <is>
          <t>P</t>
        </is>
      </c>
      <c r="BH51" s="25" t="inlineStr">
        <is>
          <t>P</t>
        </is>
      </c>
      <c r="BI51" s="25" t="inlineStr">
        <is>
          <t>P</t>
        </is>
      </c>
      <c r="BJ51" s="25" t="inlineStr">
        <is>
          <t>P</t>
        </is>
      </c>
      <c r="BK51" s="25" t="inlineStr">
        <is>
          <t>P</t>
        </is>
      </c>
      <c r="BL51" s="25" t="inlineStr">
        <is>
          <t>P</t>
        </is>
      </c>
      <c r="BM51" s="25" t="inlineStr">
        <is>
          <t>P</t>
        </is>
      </c>
      <c r="BN51" s="25" t="inlineStr">
        <is>
          <t>P</t>
        </is>
      </c>
      <c r="BO51" s="25" t="inlineStr">
        <is>
          <t>P</t>
        </is>
      </c>
      <c r="BP51" s="25" t="inlineStr">
        <is>
          <t>P</t>
        </is>
      </c>
    </row>
    <row r="52">
      <c r="A52" s="16" t="n"/>
      <c r="B52" s="17" t="inlineStr">
        <is>
          <t>Executed Date</t>
        </is>
      </c>
      <c r="C52" s="4" t="n"/>
      <c r="D52" s="4" t="n"/>
      <c r="E52" s="4" t="n"/>
      <c r="F52" s="26" t="n">
        <v>46215</v>
      </c>
      <c r="G52" s="26" t="n">
        <v>46215</v>
      </c>
      <c r="H52" s="26" t="n">
        <v>46215</v>
      </c>
      <c r="I52" s="26" t="n">
        <v>46215</v>
      </c>
      <c r="J52" s="26" t="n">
        <v>46215</v>
      </c>
      <c r="K52" s="26" t="n">
        <v>46215</v>
      </c>
      <c r="L52" s="26" t="n">
        <v>46215</v>
      </c>
      <c r="M52" s="26" t="n">
        <v>46215</v>
      </c>
      <c r="N52" s="26" t="n">
        <v>46215</v>
      </c>
      <c r="O52" s="26" t="n">
        <v>46215</v>
      </c>
      <c r="P52" s="26" t="n">
        <v>46215</v>
      </c>
      <c r="Q52" s="26" t="n">
        <v>46215</v>
      </c>
      <c r="R52" s="26" t="n">
        <v>46215</v>
      </c>
      <c r="S52" s="26" t="n">
        <v>46215</v>
      </c>
      <c r="T52" s="26" t="n">
        <v>46215</v>
      </c>
      <c r="U52" s="26" t="n">
        <v>46215</v>
      </c>
      <c r="V52" s="26" t="n">
        <v>46215</v>
      </c>
      <c r="W52" s="26" t="n">
        <v>46215</v>
      </c>
      <c r="X52" s="26" t="n">
        <v>46215</v>
      </c>
      <c r="Y52" s="26" t="n">
        <v>46215</v>
      </c>
      <c r="Z52" s="26" t="n">
        <v>46215</v>
      </c>
      <c r="AA52" s="26" t="n">
        <v>46215</v>
      </c>
      <c r="AB52" s="26" t="n">
        <v>46215</v>
      </c>
      <c r="AC52" s="26" t="n">
        <v>46215</v>
      </c>
      <c r="AD52" s="26" t="n">
        <v>46215</v>
      </c>
      <c r="AE52" s="26" t="n">
        <v>46215</v>
      </c>
      <c r="AF52" s="26" t="n">
        <v>46215</v>
      </c>
      <c r="AG52" s="26" t="n">
        <v>46215</v>
      </c>
      <c r="AH52" s="26" t="n">
        <v>46215</v>
      </c>
      <c r="AI52" s="26" t="n">
        <v>46215</v>
      </c>
      <c r="AJ52" s="26" t="n">
        <v>46215</v>
      </c>
      <c r="AK52" s="26" t="n">
        <v>46215</v>
      </c>
      <c r="AL52" s="26" t="n">
        <v>46215</v>
      </c>
      <c r="AM52" s="26" t="n">
        <v>46215</v>
      </c>
      <c r="AN52" s="26" t="n">
        <v>46215</v>
      </c>
      <c r="AO52" s="26" t="n">
        <v>46215</v>
      </c>
      <c r="AP52" s="26" t="n">
        <v>46215</v>
      </c>
      <c r="AQ52" s="26" t="n">
        <v>46215</v>
      </c>
      <c r="AR52" s="26" t="n">
        <v>46215</v>
      </c>
      <c r="AS52" s="26" t="n">
        <v>46215</v>
      </c>
      <c r="AT52" s="26" t="n">
        <v>46215</v>
      </c>
      <c r="AU52" s="26" t="n">
        <v>46215</v>
      </c>
      <c r="AV52" s="26" t="n">
        <v>46215</v>
      </c>
      <c r="AW52" s="26" t="n">
        <v>46215</v>
      </c>
      <c r="AX52" s="26" t="n">
        <v>46215</v>
      </c>
      <c r="AY52" s="26" t="n">
        <v>46215</v>
      </c>
      <c r="AZ52" s="26" t="n">
        <v>46215</v>
      </c>
      <c r="BA52" s="26" t="n">
        <v>46215</v>
      </c>
      <c r="BB52" s="26" t="n">
        <v>46215</v>
      </c>
      <c r="BC52" s="26" t="n">
        <v>46215</v>
      </c>
      <c r="BD52" s="26" t="n">
        <v>46215</v>
      </c>
      <c r="BE52" s="26" t="n">
        <v>46215</v>
      </c>
      <c r="BF52" s="26" t="n">
        <v>46215</v>
      </c>
      <c r="BG52" s="26" t="n">
        <v>46215</v>
      </c>
      <c r="BH52" s="26" t="n">
        <v>46215</v>
      </c>
      <c r="BI52" s="26" t="n">
        <v>46215</v>
      </c>
      <c r="BJ52" s="26" t="n">
        <v>46215</v>
      </c>
      <c r="BK52" s="26" t="n">
        <v>46215</v>
      </c>
      <c r="BL52" s="26" t="n">
        <v>46215</v>
      </c>
      <c r="BM52" s="26" t="n">
        <v>46215</v>
      </c>
      <c r="BN52" s="26" t="n">
        <v>46215</v>
      </c>
      <c r="BO52" s="26" t="n">
        <v>46215</v>
      </c>
      <c r="BP52" s="26" t="n">
        <v>46215</v>
      </c>
    </row>
    <row r="53">
      <c r="A53" s="16" t="n"/>
      <c r="B53" s="17" t="inlineStr">
        <is>
          <t>Defect ID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</row>
  </sheetData>
  <mergeCells count="27">
    <mergeCell ref="O6:BP6"/>
    <mergeCell ref="C5:BP5"/>
    <mergeCell ref="B51:E51"/>
    <mergeCell ref="F2:K2"/>
    <mergeCell ref="A6:B6"/>
    <mergeCell ref="C4:D4"/>
    <mergeCell ref="C2:E2"/>
    <mergeCell ref="A7:B7"/>
    <mergeCell ref="B50:E50"/>
    <mergeCell ref="C7:E7"/>
    <mergeCell ref="L6:N6"/>
    <mergeCell ref="A3:B3"/>
    <mergeCell ref="L4:BP4"/>
    <mergeCell ref="A2:B2"/>
    <mergeCell ref="B52:E52"/>
    <mergeCell ref="A5:B5"/>
    <mergeCell ref="C3:E3"/>
    <mergeCell ref="F4:K4"/>
    <mergeCell ref="C6:E6"/>
    <mergeCell ref="A4:B4"/>
    <mergeCell ref="B53:E53"/>
    <mergeCell ref="F6:K6"/>
    <mergeCell ref="F7:K7"/>
    <mergeCell ref="L3:N3"/>
    <mergeCell ref="O7:BP7"/>
    <mergeCell ref="F3:K3"/>
    <mergeCell ref="L2:BP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Z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2">
      <c r="A2" s="15" t="inlineStr">
        <is>
          <t>Function Code</t>
        </is>
      </c>
      <c r="B2" s="16" t="n"/>
      <c r="C2" s="17" t="inlineStr">
        <is>
          <t>BookDiscoverySystemTest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BookDiscoverySystem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5" t="inlineStr">
        <is>
          <t>Lines  of code</t>
        </is>
      </c>
      <c r="B4" s="16" t="n"/>
      <c r="C4" s="17" t="n">
        <v>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5" t="inlineStr">
        <is>
          <t>Test requirement</t>
        </is>
      </c>
      <c r="B5" s="16" t="n"/>
      <c r="C5" s="17" t="inlineStr">
        <is>
          <t>Unit test for BookDiscoverySystem (f8)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20">
        <f>COUNTIF(F45:Z45,"P")</f>
        <v/>
      </c>
      <c r="B7" s="4" t="n"/>
      <c r="C7" s="20">
        <f>COUNTIF(F45:Z45,"F")</f>
        <v/>
      </c>
      <c r="D7" s="4" t="n"/>
      <c r="E7" s="4" t="n"/>
      <c r="F7" s="20">
        <f>21-A7-C7</f>
        <v/>
      </c>
      <c r="G7" s="4" t="n"/>
      <c r="H7" s="4" t="n"/>
      <c r="I7" s="4" t="n"/>
      <c r="J7" s="4" t="n"/>
      <c r="K7" s="4" t="n"/>
      <c r="L7" s="17">
        <f>COUNTIF(F44:Z44,"N")</f>
        <v/>
      </c>
      <c r="M7" s="17">
        <f>COUNTIF(F44:Z44,"A")</f>
        <v/>
      </c>
      <c r="N7" s="17">
        <f>COUNTIF(F44:Z44,"B")</f>
        <v/>
      </c>
      <c r="O7" s="20" t="n">
        <v>21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6" t="n"/>
      <c r="B17" s="18" t="inlineStr">
        <is>
          <t>scenarioName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6" t="n"/>
      <c r="B20" s="18" t="inlineStr">
        <is>
          <t>loginRole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16" t="n"/>
      <c r="B23" s="18" t="inlineStr">
        <is>
          <t>studentBorrowCount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16" t="n"/>
      <c r="B26" s="18" t="inlineStr">
        <is>
          <t>aiSvcFails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16" t="n"/>
      <c r="B29" s="18" t="inlineStr">
        <is>
          <t>searchKeyword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16" t="n"/>
      <c r="B32" s="18" t="inlineStr">
        <is>
          <t>detailBookId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6">
      <c r="A36" s="15" t="inlineStr">
        <is>
          <t>Confirm</t>
        </is>
      </c>
      <c r="B36" s="18" t="inlineStr">
        <is>
          <t>Return</t>
        </is>
      </c>
      <c r="C36" s="19" t="n"/>
      <c r="D36" s="19" t="n"/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16" t="n"/>
      <c r="B37" s="19" t="n"/>
      <c r="C37" s="19" t="n"/>
      <c r="D37" s="23" t="inlineStr">
        <is>
          <t>Assertion verified</t>
        </is>
      </c>
      <c r="E37" s="22" t="n"/>
      <c r="F37" s="24" t="inlineStr">
        <is>
          <t>O</t>
        </is>
      </c>
      <c r="G37" s="24" t="inlineStr">
        <is>
          <t>O</t>
        </is>
      </c>
      <c r="H37" s="24" t="inlineStr">
        <is>
          <t>O</t>
        </is>
      </c>
      <c r="I37" s="24" t="inlineStr">
        <is>
          <t>O</t>
        </is>
      </c>
      <c r="J37" s="24" t="inlineStr">
        <is>
          <t>O</t>
        </is>
      </c>
      <c r="K37" s="24" t="inlineStr">
        <is>
          <t>O</t>
        </is>
      </c>
      <c r="L37" s="24" t="inlineStr">
        <is>
          <t>O</t>
        </is>
      </c>
      <c r="M37" s="24" t="inlineStr">
        <is>
          <t>O</t>
        </is>
      </c>
      <c r="N37" s="24" t="inlineStr">
        <is>
          <t>O</t>
        </is>
      </c>
      <c r="O37" s="24" t="inlineStr">
        <is>
          <t>O</t>
        </is>
      </c>
      <c r="P37" s="24" t="inlineStr">
        <is>
          <t>O</t>
        </is>
      </c>
      <c r="Q37" s="24" t="inlineStr">
        <is>
          <t>O</t>
        </is>
      </c>
      <c r="R37" s="24" t="inlineStr">
        <is>
          <t>O</t>
        </is>
      </c>
      <c r="S37" s="24" t="inlineStr">
        <is>
          <t>O</t>
        </is>
      </c>
      <c r="T37" s="24" t="inlineStr">
        <is>
          <t>O</t>
        </is>
      </c>
      <c r="U37" s="24" t="inlineStr">
        <is>
          <t>O</t>
        </is>
      </c>
      <c r="V37" s="24" t="inlineStr">
        <is>
          <t>O</t>
        </is>
      </c>
      <c r="W37" s="24" t="inlineStr">
        <is>
          <t>O</t>
        </is>
      </c>
      <c r="X37" s="24" t="inlineStr">
        <is>
          <t>O</t>
        </is>
      </c>
      <c r="Y37" s="24" t="inlineStr">
        <is>
          <t>O</t>
        </is>
      </c>
      <c r="Z37" s="24" t="inlineStr">
        <is>
          <t>O</t>
        </is>
      </c>
    </row>
    <row r="38">
      <c r="A38" s="16" t="n"/>
      <c r="B38" s="19" t="n"/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16" t="n"/>
      <c r="B39" s="18" t="inlineStr">
        <is>
          <t>Exception</t>
        </is>
      </c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16" t="n"/>
      <c r="B41" s="18" t="inlineStr">
        <is>
          <t>Log message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16" t="n"/>
      <c r="B42" s="19" t="n"/>
      <c r="C42" s="19" t="n"/>
      <c r="D42" s="19" t="n"/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15" t="inlineStr">
        <is>
          <t>Result</t>
        </is>
      </c>
      <c r="B44" s="17" t="inlineStr">
        <is>
          <t>Type(N : Normal, A : Abnormal, B : Boundary)</t>
        </is>
      </c>
      <c r="C44" s="4" t="n"/>
      <c r="D44" s="4" t="n"/>
      <c r="E44" s="4" t="n"/>
      <c r="F44" s="25" t="inlineStr">
        <is>
          <t>N</t>
        </is>
      </c>
      <c r="G44" s="25" t="inlineStr">
        <is>
          <t>N</t>
        </is>
      </c>
      <c r="H44" s="25" t="inlineStr">
        <is>
          <t>N</t>
        </is>
      </c>
      <c r="I44" s="25" t="inlineStr">
        <is>
          <t>N</t>
        </is>
      </c>
      <c r="J44" s="25" t="inlineStr">
        <is>
          <t>N</t>
        </is>
      </c>
      <c r="K44" s="25" t="inlineStr">
        <is>
          <t>N</t>
        </is>
      </c>
      <c r="L44" s="25" t="inlineStr">
        <is>
          <t>N</t>
        </is>
      </c>
      <c r="M44" s="25" t="inlineStr">
        <is>
          <t>N</t>
        </is>
      </c>
      <c r="N44" s="25" t="inlineStr">
        <is>
          <t>N</t>
        </is>
      </c>
      <c r="O44" s="25" t="inlineStr">
        <is>
          <t>N</t>
        </is>
      </c>
      <c r="P44" s="25" t="inlineStr">
        <is>
          <t>N</t>
        </is>
      </c>
      <c r="Q44" s="25" t="inlineStr">
        <is>
          <t>N</t>
        </is>
      </c>
      <c r="R44" s="25" t="inlineStr">
        <is>
          <t>N</t>
        </is>
      </c>
      <c r="S44" s="25" t="inlineStr">
        <is>
          <t>N</t>
        </is>
      </c>
      <c r="T44" s="25" t="inlineStr">
        <is>
          <t>N</t>
        </is>
      </c>
      <c r="U44" s="25" t="inlineStr">
        <is>
          <t>N</t>
        </is>
      </c>
      <c r="V44" s="25" t="inlineStr">
        <is>
          <t>N</t>
        </is>
      </c>
      <c r="W44" s="25" t="inlineStr">
        <is>
          <t>N</t>
        </is>
      </c>
      <c r="X44" s="25" t="inlineStr">
        <is>
          <t>N</t>
        </is>
      </c>
      <c r="Y44" s="25" t="inlineStr">
        <is>
          <t>N</t>
        </is>
      </c>
      <c r="Z44" s="25" t="inlineStr">
        <is>
          <t>N</t>
        </is>
      </c>
    </row>
    <row r="45">
      <c r="A45" s="16" t="n"/>
      <c r="B45" s="17" t="inlineStr">
        <is>
          <t>Passed/Failed</t>
        </is>
      </c>
      <c r="C45" s="4" t="n"/>
      <c r="D45" s="4" t="n"/>
      <c r="E45" s="4" t="n"/>
      <c r="F45" s="25" t="inlineStr">
        <is>
          <t>P</t>
        </is>
      </c>
      <c r="G45" s="25" t="inlineStr">
        <is>
          <t>P</t>
        </is>
      </c>
      <c r="H45" s="25" t="inlineStr">
        <is>
          <t>P</t>
        </is>
      </c>
      <c r="I45" s="25" t="inlineStr">
        <is>
          <t>P</t>
        </is>
      </c>
      <c r="J45" s="25" t="inlineStr">
        <is>
          <t>P</t>
        </is>
      </c>
      <c r="K45" s="25" t="inlineStr">
        <is>
          <t>P</t>
        </is>
      </c>
      <c r="L45" s="25" t="inlineStr">
        <is>
          <t>P</t>
        </is>
      </c>
      <c r="M45" s="25" t="inlineStr">
        <is>
          <t>P</t>
        </is>
      </c>
      <c r="N45" s="25" t="inlineStr">
        <is>
          <t>P</t>
        </is>
      </c>
      <c r="O45" s="25" t="inlineStr">
        <is>
          <t>P</t>
        </is>
      </c>
      <c r="P45" s="25" t="inlineStr">
        <is>
          <t>P</t>
        </is>
      </c>
      <c r="Q45" s="25" t="inlineStr">
        <is>
          <t>P</t>
        </is>
      </c>
      <c r="R45" s="25" t="inlineStr">
        <is>
          <t>P</t>
        </is>
      </c>
      <c r="S45" s="25" t="inlineStr">
        <is>
          <t>P</t>
        </is>
      </c>
      <c r="T45" s="25" t="inlineStr">
        <is>
          <t>P</t>
        </is>
      </c>
      <c r="U45" s="25" t="inlineStr">
        <is>
          <t>P</t>
        </is>
      </c>
      <c r="V45" s="25" t="inlineStr">
        <is>
          <t>P</t>
        </is>
      </c>
      <c r="W45" s="25" t="inlineStr">
        <is>
          <t>P</t>
        </is>
      </c>
      <c r="X45" s="25" t="inlineStr">
        <is>
          <t>P</t>
        </is>
      </c>
      <c r="Y45" s="25" t="inlineStr">
        <is>
          <t>P</t>
        </is>
      </c>
      <c r="Z45" s="25" t="inlineStr">
        <is>
          <t>P</t>
        </is>
      </c>
    </row>
    <row r="46">
      <c r="A46" s="16" t="n"/>
      <c r="B46" s="17" t="inlineStr">
        <is>
          <t>Executed Date</t>
        </is>
      </c>
      <c r="C46" s="4" t="n"/>
      <c r="D46" s="4" t="n"/>
      <c r="E46" s="4" t="n"/>
      <c r="F46" s="26" t="n">
        <v>46215</v>
      </c>
      <c r="G46" s="26" t="n">
        <v>46215</v>
      </c>
      <c r="H46" s="26" t="n">
        <v>46215</v>
      </c>
      <c r="I46" s="26" t="n">
        <v>46215</v>
      </c>
      <c r="J46" s="26" t="n">
        <v>46215</v>
      </c>
      <c r="K46" s="26" t="n">
        <v>46215</v>
      </c>
      <c r="L46" s="26" t="n">
        <v>46215</v>
      </c>
      <c r="M46" s="26" t="n">
        <v>46215</v>
      </c>
      <c r="N46" s="26" t="n">
        <v>46215</v>
      </c>
      <c r="O46" s="26" t="n">
        <v>46215</v>
      </c>
      <c r="P46" s="26" t="n">
        <v>46215</v>
      </c>
      <c r="Q46" s="26" t="n">
        <v>46215</v>
      </c>
      <c r="R46" s="26" t="n">
        <v>46215</v>
      </c>
      <c r="S46" s="26" t="n">
        <v>46215</v>
      </c>
      <c r="T46" s="26" t="n">
        <v>46215</v>
      </c>
      <c r="U46" s="26" t="n">
        <v>46215</v>
      </c>
      <c r="V46" s="26" t="n">
        <v>46215</v>
      </c>
      <c r="W46" s="26" t="n">
        <v>46215</v>
      </c>
      <c r="X46" s="26" t="n">
        <v>46215</v>
      </c>
      <c r="Y46" s="26" t="n">
        <v>46215</v>
      </c>
      <c r="Z46" s="26" t="n">
        <v>46215</v>
      </c>
    </row>
    <row r="47">
      <c r="A47" s="16" t="n"/>
      <c r="B47" s="17" t="inlineStr">
        <is>
          <t>Defect ID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</sheetData>
  <mergeCells count="27">
    <mergeCell ref="F2:K2"/>
    <mergeCell ref="A6:B6"/>
    <mergeCell ref="C4:D4"/>
    <mergeCell ref="C2:E2"/>
    <mergeCell ref="L4:Z4"/>
    <mergeCell ref="B45:E45"/>
    <mergeCell ref="A7:B7"/>
    <mergeCell ref="B47:E47"/>
    <mergeCell ref="C7:E7"/>
    <mergeCell ref="L6:N6"/>
    <mergeCell ref="A3:B3"/>
    <mergeCell ref="B46:E46"/>
    <mergeCell ref="A2:B2"/>
    <mergeCell ref="A5:B5"/>
    <mergeCell ref="C3:E3"/>
    <mergeCell ref="F4:K4"/>
    <mergeCell ref="O7:Z7"/>
    <mergeCell ref="C6:E6"/>
    <mergeCell ref="A4:B4"/>
    <mergeCell ref="L2:Z2"/>
    <mergeCell ref="F6:K6"/>
    <mergeCell ref="O6:Z6"/>
    <mergeCell ref="B44:E44"/>
    <mergeCell ref="F7:K7"/>
    <mergeCell ref="C5:Z5"/>
    <mergeCell ref="L3:N3"/>
    <mergeCell ref="F3:K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AA5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2">
      <c r="A2" s="15" t="inlineStr">
        <is>
          <t>Function Code</t>
        </is>
      </c>
      <c r="B2" s="16" t="n"/>
      <c r="C2" s="17" t="inlineStr">
        <is>
          <t>BookServletsTest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BookServlets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15" t="inlineStr">
        <is>
          <t>Lines  of code</t>
        </is>
      </c>
      <c r="B4" s="16" t="n"/>
      <c r="C4" s="17" t="n">
        <v>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15" t="inlineStr">
        <is>
          <t>Test requirement</t>
        </is>
      </c>
      <c r="B5" s="16" t="n"/>
      <c r="C5" s="17" t="inlineStr">
        <is>
          <t>Unit test for BookServlets (f8)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20">
        <f>COUNTIF(F54:AA54,"P")</f>
        <v/>
      </c>
      <c r="B7" s="4" t="n"/>
      <c r="C7" s="20">
        <f>COUNTIF(F54:AA54,"F")</f>
        <v/>
      </c>
      <c r="D7" s="4" t="n"/>
      <c r="E7" s="4" t="n"/>
      <c r="F7" s="20">
        <f>22-A7-C7</f>
        <v/>
      </c>
      <c r="G7" s="4" t="n"/>
      <c r="H7" s="4" t="n"/>
      <c r="I7" s="4" t="n"/>
      <c r="J7" s="4" t="n"/>
      <c r="K7" s="4" t="n"/>
      <c r="L7" s="17">
        <f>COUNTIF(F53:AA53,"N")</f>
        <v/>
      </c>
      <c r="M7" s="17">
        <f>COUNTIF(F53:AA53,"A")</f>
        <v/>
      </c>
      <c r="N7" s="17">
        <f>COUNTIF(F53:AA53,"B")</f>
        <v/>
      </c>
      <c r="O7" s="20" t="n">
        <v>22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16" t="n"/>
      <c r="B17" s="18" t="inlineStr">
        <is>
          <t>servletType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16" t="n"/>
      <c r="B20" s="18" t="inlineStr">
        <is>
          <t>keyword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16" t="n"/>
      <c r="B23" s="18" t="inlineStr">
        <is>
          <t>categoryIdParam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s="16" t="n"/>
      <c r="B26" s="18" t="inlineStr">
        <is>
          <t>tagParams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16" t="n"/>
      <c r="B29" s="18" t="inlineStr">
        <is>
          <t>pageParam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A32" s="16" t="n"/>
      <c r="B32" s="18" t="inlineStr">
        <is>
          <t>detailIdParam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16" t="n"/>
      <c r="B35" s="18" t="inlineStr">
        <is>
          <t>userRole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  <c r="AA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16" t="n"/>
      <c r="B38" s="18" t="inlineStr">
        <is>
          <t>expectedRedirect</t>
        </is>
      </c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16" t="n"/>
      <c r="B39" s="19" t="n"/>
      <c r="C39" s="19" t="n"/>
      <c r="D39" s="23" t="inlineStr">
        <is>
          <t>value per TC</t>
        </is>
      </c>
      <c r="E39" s="22" t="n"/>
      <c r="F39" s="24" t="inlineStr">
        <is>
          <t>O</t>
        </is>
      </c>
      <c r="G39" s="24" t="inlineStr">
        <is>
          <t>O</t>
        </is>
      </c>
      <c r="H39" s="24" t="inlineStr">
        <is>
          <t>O</t>
        </is>
      </c>
      <c r="I39" s="24" t="inlineStr">
        <is>
          <t>O</t>
        </is>
      </c>
      <c r="J39" s="24" t="inlineStr">
        <is>
          <t>O</t>
        </is>
      </c>
      <c r="K39" s="24" t="inlineStr">
        <is>
          <t>O</t>
        </is>
      </c>
      <c r="L39" s="24" t="inlineStr">
        <is>
          <t>O</t>
        </is>
      </c>
      <c r="M39" s="24" t="inlineStr">
        <is>
          <t>O</t>
        </is>
      </c>
      <c r="N39" s="24" t="inlineStr">
        <is>
          <t>O</t>
        </is>
      </c>
      <c r="O39" s="24" t="inlineStr">
        <is>
          <t>O</t>
        </is>
      </c>
      <c r="P39" s="24" t="inlineStr">
        <is>
          <t>O</t>
        </is>
      </c>
      <c r="Q39" s="24" t="inlineStr">
        <is>
          <t>O</t>
        </is>
      </c>
      <c r="R39" s="24" t="inlineStr">
        <is>
          <t>O</t>
        </is>
      </c>
      <c r="S39" s="24" t="inlineStr">
        <is>
          <t>O</t>
        </is>
      </c>
      <c r="T39" s="24" t="inlineStr">
        <is>
          <t>O</t>
        </is>
      </c>
      <c r="U39" s="24" t="inlineStr">
        <is>
          <t>O</t>
        </is>
      </c>
      <c r="V39" s="24" t="inlineStr">
        <is>
          <t>O</t>
        </is>
      </c>
      <c r="W39" s="24" t="inlineStr">
        <is>
          <t>O</t>
        </is>
      </c>
      <c r="X39" s="24" t="inlineStr">
        <is>
          <t>O</t>
        </is>
      </c>
      <c r="Y39" s="24" t="inlineStr">
        <is>
          <t>O</t>
        </is>
      </c>
      <c r="Z39" s="24" t="inlineStr">
        <is>
          <t>O</t>
        </is>
      </c>
      <c r="AA39" s="24" t="inlineStr">
        <is>
          <t>O</t>
        </is>
      </c>
    </row>
    <row r="40">
      <c r="A40" s="16" t="n"/>
      <c r="B40" s="19" t="n"/>
      <c r="C40" s="19" t="n"/>
      <c r="D40" s="19" t="n"/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16" t="n"/>
      <c r="B41" s="18" t="inlineStr">
        <is>
          <t>expectedForward</t>
        </is>
      </c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16" t="n"/>
      <c r="B42" s="19" t="n"/>
      <c r="C42" s="19" t="n"/>
      <c r="D42" s="23" t="inlineStr">
        <is>
          <t>value per TC</t>
        </is>
      </c>
      <c r="E42" s="22" t="n"/>
      <c r="F42" s="24" t="inlineStr">
        <is>
          <t>O</t>
        </is>
      </c>
      <c r="G42" s="24" t="inlineStr">
        <is>
          <t>O</t>
        </is>
      </c>
      <c r="H42" s="24" t="inlineStr">
        <is>
          <t>O</t>
        </is>
      </c>
      <c r="I42" s="24" t="inlineStr">
        <is>
          <t>O</t>
        </is>
      </c>
      <c r="J42" s="24" t="inlineStr">
        <is>
          <t>O</t>
        </is>
      </c>
      <c r="K42" s="24" t="inlineStr">
        <is>
          <t>O</t>
        </is>
      </c>
      <c r="L42" s="24" t="inlineStr">
        <is>
          <t>O</t>
        </is>
      </c>
      <c r="M42" s="24" t="inlineStr">
        <is>
          <t>O</t>
        </is>
      </c>
      <c r="N42" s="24" t="inlineStr">
        <is>
          <t>O</t>
        </is>
      </c>
      <c r="O42" s="24" t="inlineStr">
        <is>
          <t>O</t>
        </is>
      </c>
      <c r="P42" s="24" t="inlineStr">
        <is>
          <t>O</t>
        </is>
      </c>
      <c r="Q42" s="24" t="inlineStr">
        <is>
          <t>O</t>
        </is>
      </c>
      <c r="R42" s="24" t="inlineStr">
        <is>
          <t>O</t>
        </is>
      </c>
      <c r="S42" s="24" t="inlineStr">
        <is>
          <t>O</t>
        </is>
      </c>
      <c r="T42" s="24" t="inlineStr">
        <is>
          <t>O</t>
        </is>
      </c>
      <c r="U42" s="24" t="inlineStr">
        <is>
          <t>O</t>
        </is>
      </c>
      <c r="V42" s="24" t="inlineStr">
        <is>
          <t>O</t>
        </is>
      </c>
      <c r="W42" s="24" t="inlineStr">
        <is>
          <t>O</t>
        </is>
      </c>
      <c r="X42" s="24" t="inlineStr">
        <is>
          <t>O</t>
        </is>
      </c>
      <c r="Y42" s="24" t="inlineStr">
        <is>
          <t>O</t>
        </is>
      </c>
      <c r="Z42" s="24" t="inlineStr">
        <is>
          <t>O</t>
        </is>
      </c>
      <c r="AA42" s="24" t="inlineStr">
        <is>
          <t>O</t>
        </is>
      </c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5">
      <c r="A45" s="15" t="inlineStr">
        <is>
          <t>Confirm</t>
        </is>
      </c>
      <c r="B45" s="18" t="inlineStr">
        <is>
          <t>Return</t>
        </is>
      </c>
      <c r="C45" s="19" t="n"/>
      <c r="D45" s="19" t="n"/>
      <c r="E45" s="2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A46" s="16" t="n"/>
      <c r="B46" s="19" t="n"/>
      <c r="C46" s="19" t="n"/>
      <c r="D46" s="23" t="inlineStr">
        <is>
          <t>Assertion verified</t>
        </is>
      </c>
      <c r="E46" s="22" t="n"/>
      <c r="F46" s="24" t="inlineStr">
        <is>
          <t>O</t>
        </is>
      </c>
      <c r="G46" s="24" t="inlineStr">
        <is>
          <t>O</t>
        </is>
      </c>
      <c r="H46" s="24" t="inlineStr">
        <is>
          <t>O</t>
        </is>
      </c>
      <c r="I46" s="24" t="inlineStr">
        <is>
          <t>O</t>
        </is>
      </c>
      <c r="J46" s="24" t="inlineStr">
        <is>
          <t>O</t>
        </is>
      </c>
      <c r="K46" s="24" t="inlineStr">
        <is>
          <t>O</t>
        </is>
      </c>
      <c r="L46" s="24" t="inlineStr">
        <is>
          <t>O</t>
        </is>
      </c>
      <c r="M46" s="24" t="inlineStr">
        <is>
          <t>O</t>
        </is>
      </c>
      <c r="N46" s="24" t="inlineStr">
        <is>
          <t>O</t>
        </is>
      </c>
      <c r="O46" s="24" t="inlineStr">
        <is>
          <t>O</t>
        </is>
      </c>
      <c r="P46" s="24" t="inlineStr">
        <is>
          <t>O</t>
        </is>
      </c>
      <c r="Q46" s="24" t="inlineStr">
        <is>
          <t>O</t>
        </is>
      </c>
      <c r="R46" s="24" t="inlineStr">
        <is>
          <t>O</t>
        </is>
      </c>
      <c r="S46" s="24" t="inlineStr">
        <is>
          <t>O</t>
        </is>
      </c>
      <c r="T46" s="24" t="inlineStr">
        <is>
          <t>O</t>
        </is>
      </c>
      <c r="U46" s="24" t="inlineStr">
        <is>
          <t>O</t>
        </is>
      </c>
      <c r="V46" s="24" t="inlineStr">
        <is>
          <t>O</t>
        </is>
      </c>
      <c r="W46" s="24" t="inlineStr">
        <is>
          <t>O</t>
        </is>
      </c>
      <c r="X46" s="24" t="inlineStr">
        <is>
          <t>O</t>
        </is>
      </c>
      <c r="Y46" s="24" t="inlineStr">
        <is>
          <t>O</t>
        </is>
      </c>
      <c r="Z46" s="24" t="inlineStr">
        <is>
          <t>O</t>
        </is>
      </c>
      <c r="AA46" s="24" t="inlineStr">
        <is>
          <t>O</t>
        </is>
      </c>
    </row>
    <row r="47">
      <c r="A47" s="16" t="n"/>
      <c r="B47" s="19" t="n"/>
      <c r="C47" s="19" t="n"/>
      <c r="D47" s="19" t="n"/>
      <c r="E47" s="22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s="16" t="n"/>
      <c r="B48" s="18" t="inlineStr">
        <is>
          <t>Exception</t>
        </is>
      </c>
      <c r="C48" s="19" t="n"/>
      <c r="D48" s="19" t="n"/>
      <c r="E48" s="22" t="n"/>
      <c r="F48" s="24" t="inlineStr">
        <is>
          <t>O</t>
        </is>
      </c>
      <c r="G48" s="24" t="inlineStr">
        <is>
          <t>O</t>
        </is>
      </c>
      <c r="H48" s="24" t="inlineStr">
        <is>
          <t>O</t>
        </is>
      </c>
      <c r="I48" s="24" t="inlineStr">
        <is>
          <t>O</t>
        </is>
      </c>
      <c r="J48" s="24" t="inlineStr">
        <is>
          <t>O</t>
        </is>
      </c>
      <c r="K48" s="24" t="inlineStr">
        <is>
          <t>O</t>
        </is>
      </c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s="16" t="n"/>
      <c r="B49" s="19" t="n"/>
      <c r="C49" s="19" t="n"/>
      <c r="D49" s="19" t="n"/>
      <c r="E49" s="2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s="16" t="n"/>
      <c r="B50" s="18" t="inlineStr">
        <is>
          <t>Log message</t>
        </is>
      </c>
      <c r="C50" s="19" t="n"/>
      <c r="D50" s="19" t="n"/>
      <c r="E50" s="22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A51" s="16" t="n"/>
      <c r="B51" s="19" t="n"/>
      <c r="C51" s="19" t="n"/>
      <c r="D51" s="19" t="n"/>
      <c r="E51" s="22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s="16" t="n"/>
      <c r="B52" s="19" t="n"/>
      <c r="C52" s="19" t="n"/>
      <c r="D52" s="19" t="n"/>
      <c r="E52" s="22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A53" s="15" t="inlineStr">
        <is>
          <t>Result</t>
        </is>
      </c>
      <c r="B53" s="17" t="inlineStr">
        <is>
          <t>Type(N : Normal, A : Abnormal, B : Boundary)</t>
        </is>
      </c>
      <c r="C53" s="4" t="n"/>
      <c r="D53" s="4" t="n"/>
      <c r="E53" s="4" t="n"/>
      <c r="F53" s="25" t="inlineStr">
        <is>
          <t>A</t>
        </is>
      </c>
      <c r="G53" s="25" t="inlineStr">
        <is>
          <t>A</t>
        </is>
      </c>
      <c r="H53" s="25" t="inlineStr">
        <is>
          <t>A</t>
        </is>
      </c>
      <c r="I53" s="25" t="inlineStr">
        <is>
          <t>A</t>
        </is>
      </c>
      <c r="J53" s="25" t="inlineStr">
        <is>
          <t>A</t>
        </is>
      </c>
      <c r="K53" s="25" t="inlineStr">
        <is>
          <t>A</t>
        </is>
      </c>
      <c r="L53" s="25" t="inlineStr">
        <is>
          <t>N</t>
        </is>
      </c>
      <c r="M53" s="25" t="inlineStr">
        <is>
          <t>N</t>
        </is>
      </c>
      <c r="N53" s="25" t="inlineStr">
        <is>
          <t>N</t>
        </is>
      </c>
      <c r="O53" s="25" t="inlineStr">
        <is>
          <t>N</t>
        </is>
      </c>
      <c r="P53" s="25" t="inlineStr">
        <is>
          <t>N</t>
        </is>
      </c>
      <c r="Q53" s="25" t="inlineStr">
        <is>
          <t>N</t>
        </is>
      </c>
      <c r="R53" s="25" t="inlineStr">
        <is>
          <t>N</t>
        </is>
      </c>
      <c r="S53" s="25" t="inlineStr">
        <is>
          <t>N</t>
        </is>
      </c>
      <c r="T53" s="25" t="inlineStr">
        <is>
          <t>N</t>
        </is>
      </c>
      <c r="U53" s="25" t="inlineStr">
        <is>
          <t>N</t>
        </is>
      </c>
      <c r="V53" s="25" t="inlineStr">
        <is>
          <t>N</t>
        </is>
      </c>
      <c r="W53" s="25" t="inlineStr">
        <is>
          <t>N</t>
        </is>
      </c>
      <c r="X53" s="25" t="inlineStr">
        <is>
          <t>N</t>
        </is>
      </c>
      <c r="Y53" s="25" t="inlineStr">
        <is>
          <t>N</t>
        </is>
      </c>
      <c r="Z53" s="25" t="inlineStr">
        <is>
          <t>N</t>
        </is>
      </c>
      <c r="AA53" s="25" t="inlineStr">
        <is>
          <t>N</t>
        </is>
      </c>
    </row>
    <row r="54">
      <c r="A54" s="16" t="n"/>
      <c r="B54" s="17" t="inlineStr">
        <is>
          <t>Passed/Failed</t>
        </is>
      </c>
      <c r="C54" s="4" t="n"/>
      <c r="D54" s="4" t="n"/>
      <c r="E54" s="4" t="n"/>
      <c r="F54" s="25" t="inlineStr">
        <is>
          <t>P</t>
        </is>
      </c>
      <c r="G54" s="25" t="inlineStr">
        <is>
          <t>P</t>
        </is>
      </c>
      <c r="H54" s="25" t="inlineStr">
        <is>
          <t>P</t>
        </is>
      </c>
      <c r="I54" s="25" t="inlineStr">
        <is>
          <t>P</t>
        </is>
      </c>
      <c r="J54" s="25" t="inlineStr">
        <is>
          <t>P</t>
        </is>
      </c>
      <c r="K54" s="25" t="inlineStr">
        <is>
          <t>P</t>
        </is>
      </c>
      <c r="L54" s="25" t="inlineStr">
        <is>
          <t>P</t>
        </is>
      </c>
      <c r="M54" s="25" t="inlineStr">
        <is>
          <t>P</t>
        </is>
      </c>
      <c r="N54" s="25" t="inlineStr">
        <is>
          <t>P</t>
        </is>
      </c>
      <c r="O54" s="25" t="inlineStr">
        <is>
          <t>P</t>
        </is>
      </c>
      <c r="P54" s="25" t="inlineStr">
        <is>
          <t>P</t>
        </is>
      </c>
      <c r="Q54" s="25" t="inlineStr">
        <is>
          <t>P</t>
        </is>
      </c>
      <c r="R54" s="25" t="inlineStr">
        <is>
          <t>P</t>
        </is>
      </c>
      <c r="S54" s="25" t="inlineStr">
        <is>
          <t>P</t>
        </is>
      </c>
      <c r="T54" s="25" t="inlineStr">
        <is>
          <t>P</t>
        </is>
      </c>
      <c r="U54" s="25" t="inlineStr">
        <is>
          <t>P</t>
        </is>
      </c>
      <c r="V54" s="25" t="inlineStr">
        <is>
          <t>P</t>
        </is>
      </c>
      <c r="W54" s="25" t="inlineStr">
        <is>
          <t>P</t>
        </is>
      </c>
      <c r="X54" s="25" t="inlineStr">
        <is>
          <t>P</t>
        </is>
      </c>
      <c r="Y54" s="25" t="inlineStr">
        <is>
          <t>P</t>
        </is>
      </c>
      <c r="Z54" s="25" t="inlineStr">
        <is>
          <t>P</t>
        </is>
      </c>
      <c r="AA54" s="25" t="inlineStr">
        <is>
          <t>P</t>
        </is>
      </c>
    </row>
    <row r="55">
      <c r="A55" s="16" t="n"/>
      <c r="B55" s="17" t="inlineStr">
        <is>
          <t>Executed Date</t>
        </is>
      </c>
      <c r="C55" s="4" t="n"/>
      <c r="D55" s="4" t="n"/>
      <c r="E55" s="4" t="n"/>
      <c r="F55" s="26" t="n">
        <v>46215</v>
      </c>
      <c r="G55" s="26" t="n">
        <v>46215</v>
      </c>
      <c r="H55" s="26" t="n">
        <v>46215</v>
      </c>
      <c r="I55" s="26" t="n">
        <v>46215</v>
      </c>
      <c r="J55" s="26" t="n">
        <v>46215</v>
      </c>
      <c r="K55" s="26" t="n">
        <v>46215</v>
      </c>
      <c r="L55" s="26" t="n">
        <v>46215</v>
      </c>
      <c r="M55" s="26" t="n">
        <v>46215</v>
      </c>
      <c r="N55" s="26" t="n">
        <v>46215</v>
      </c>
      <c r="O55" s="26" t="n">
        <v>46215</v>
      </c>
      <c r="P55" s="26" t="n">
        <v>46215</v>
      </c>
      <c r="Q55" s="26" t="n">
        <v>46215</v>
      </c>
      <c r="R55" s="26" t="n">
        <v>46215</v>
      </c>
      <c r="S55" s="26" t="n">
        <v>46215</v>
      </c>
      <c r="T55" s="26" t="n">
        <v>46215</v>
      </c>
      <c r="U55" s="26" t="n">
        <v>46215</v>
      </c>
      <c r="V55" s="26" t="n">
        <v>46215</v>
      </c>
      <c r="W55" s="26" t="n">
        <v>46215</v>
      </c>
      <c r="X55" s="26" t="n">
        <v>46215</v>
      </c>
      <c r="Y55" s="26" t="n">
        <v>46215</v>
      </c>
      <c r="Z55" s="26" t="n">
        <v>46215</v>
      </c>
      <c r="AA55" s="26" t="n">
        <v>46215</v>
      </c>
    </row>
    <row r="56">
      <c r="A56" s="16" t="n"/>
      <c r="B56" s="17" t="inlineStr">
        <is>
          <t>Defect ID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</sheetData>
  <mergeCells count="27">
    <mergeCell ref="B55:E55"/>
    <mergeCell ref="F2:K2"/>
    <mergeCell ref="A6:B6"/>
    <mergeCell ref="C4:D4"/>
    <mergeCell ref="C2:E2"/>
    <mergeCell ref="A7:B7"/>
    <mergeCell ref="L3:N3"/>
    <mergeCell ref="B54:E54"/>
    <mergeCell ref="O7:AA7"/>
    <mergeCell ref="C7:E7"/>
    <mergeCell ref="L6:N6"/>
    <mergeCell ref="L2:AA2"/>
    <mergeCell ref="A3:B3"/>
    <mergeCell ref="O6:AA6"/>
    <mergeCell ref="B56:E56"/>
    <mergeCell ref="A2:B2"/>
    <mergeCell ref="C5:AA5"/>
    <mergeCell ref="A5:B5"/>
    <mergeCell ref="C3:E3"/>
    <mergeCell ref="F4:K4"/>
    <mergeCell ref="C6:E6"/>
    <mergeCell ref="A4:B4"/>
    <mergeCell ref="B53:E53"/>
    <mergeCell ref="F6:K6"/>
    <mergeCell ref="F7:K7"/>
    <mergeCell ref="L4:AA4"/>
    <mergeCell ref="F3:K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AX5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</cols>
  <sheetData>
    <row r="2">
      <c r="A2" s="15" t="inlineStr">
        <is>
          <t>Function Code</t>
        </is>
      </c>
      <c r="B2" s="16" t="n"/>
      <c r="C2" s="17" t="inlineStr">
        <is>
          <t>RecommendationServletTest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RecommendationServlet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>
      <c r="A4" s="15" t="inlineStr">
        <is>
          <t>Lines  of code</t>
        </is>
      </c>
      <c r="B4" s="16" t="n"/>
      <c r="C4" s="17" t="n">
        <v>141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>
      <c r="A5" s="15" t="inlineStr">
        <is>
          <t>Test requirement</t>
        </is>
      </c>
      <c r="B5" s="16" t="n"/>
      <c r="C5" s="17" t="inlineStr">
        <is>
          <t>Unit test for RecommendationServlet (f8)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>
      <c r="A7" s="20">
        <f>COUNTIF(F48:AX48,"P")</f>
        <v/>
      </c>
      <c r="B7" s="4" t="n"/>
      <c r="C7" s="20">
        <f>COUNTIF(F48:AX48,"F")</f>
        <v/>
      </c>
      <c r="D7" s="4" t="n"/>
      <c r="E7" s="4" t="n"/>
      <c r="F7" s="20">
        <f>45-A7-C7</f>
        <v/>
      </c>
      <c r="G7" s="4" t="n"/>
      <c r="H7" s="4" t="n"/>
      <c r="I7" s="4" t="n"/>
      <c r="J7" s="4" t="n"/>
      <c r="K7" s="4" t="n"/>
      <c r="L7" s="17">
        <f>COUNTIF(F47:AX47,"N")</f>
        <v/>
      </c>
      <c r="M7" s="17">
        <f>COUNTIF(F47:AX47,"A")</f>
        <v/>
      </c>
      <c r="N7" s="17">
        <f>COUNTIF(F47:AX47,"B")</f>
        <v/>
      </c>
      <c r="O7" s="20" t="n">
        <v>45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  <c r="AG8" s="21" t="inlineStr">
        <is>
          <t>TC028</t>
        </is>
      </c>
      <c r="AH8" s="21" t="inlineStr">
        <is>
          <t>TC029</t>
        </is>
      </c>
      <c r="AI8" s="21" t="inlineStr">
        <is>
          <t>TC030</t>
        </is>
      </c>
      <c r="AJ8" s="21" t="inlineStr">
        <is>
          <t>TC031</t>
        </is>
      </c>
      <c r="AK8" s="21" t="inlineStr">
        <is>
          <t>TC032</t>
        </is>
      </c>
      <c r="AL8" s="21" t="inlineStr">
        <is>
          <t>TC033</t>
        </is>
      </c>
      <c r="AM8" s="21" t="inlineStr">
        <is>
          <t>TC034</t>
        </is>
      </c>
      <c r="AN8" s="21" t="inlineStr">
        <is>
          <t>TC035</t>
        </is>
      </c>
      <c r="AO8" s="21" t="inlineStr">
        <is>
          <t>TC036</t>
        </is>
      </c>
      <c r="AP8" s="21" t="inlineStr">
        <is>
          <t>TC037</t>
        </is>
      </c>
      <c r="AQ8" s="21" t="inlineStr">
        <is>
          <t>TC038</t>
        </is>
      </c>
      <c r="AR8" s="21" t="inlineStr">
        <is>
          <t>TC039</t>
        </is>
      </c>
      <c r="AS8" s="21" t="inlineStr">
        <is>
          <t>TC040</t>
        </is>
      </c>
      <c r="AT8" s="21" t="inlineStr">
        <is>
          <t>TC041</t>
        </is>
      </c>
      <c r="AU8" s="21" t="inlineStr">
        <is>
          <t>TC042</t>
        </is>
      </c>
      <c r="AV8" s="21" t="inlineStr">
        <is>
          <t>TC043</t>
        </is>
      </c>
      <c r="AW8" s="21" t="inlineStr">
        <is>
          <t>TC044</t>
        </is>
      </c>
      <c r="AX8" s="21" t="inlineStr">
        <is>
          <t>TC045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  <c r="AG11" s="24" t="inlineStr">
        <is>
          <t>O</t>
        </is>
      </c>
      <c r="AH11" s="24" t="inlineStr">
        <is>
          <t>O</t>
        </is>
      </c>
      <c r="AI11" s="24" t="inlineStr">
        <is>
          <t>O</t>
        </is>
      </c>
      <c r="AJ11" s="24" t="inlineStr">
        <is>
          <t>O</t>
        </is>
      </c>
      <c r="AK11" s="24" t="inlineStr">
        <is>
          <t>O</t>
        </is>
      </c>
      <c r="AL11" s="24" t="inlineStr">
        <is>
          <t>O</t>
        </is>
      </c>
      <c r="AM11" s="24" t="inlineStr">
        <is>
          <t>O</t>
        </is>
      </c>
      <c r="AN11" s="24" t="inlineStr">
        <is>
          <t>O</t>
        </is>
      </c>
      <c r="AO11" s="24" t="inlineStr">
        <is>
          <t>O</t>
        </is>
      </c>
      <c r="AP11" s="24" t="inlineStr">
        <is>
          <t>O</t>
        </is>
      </c>
      <c r="AQ11" s="24" t="inlineStr">
        <is>
          <t>O</t>
        </is>
      </c>
      <c r="AR11" s="24" t="inlineStr">
        <is>
          <t>O</t>
        </is>
      </c>
      <c r="AS11" s="24" t="inlineStr">
        <is>
          <t>O</t>
        </is>
      </c>
      <c r="AT11" s="24" t="inlineStr">
        <is>
          <t>O</t>
        </is>
      </c>
      <c r="AU11" s="24" t="inlineStr">
        <is>
          <t>O</t>
        </is>
      </c>
      <c r="AV11" s="24" t="inlineStr">
        <is>
          <t>O</t>
        </is>
      </c>
      <c r="AW11" s="24" t="inlineStr">
        <is>
          <t>O</t>
        </is>
      </c>
      <c r="AX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>
      <c r="A14" s="16" t="n"/>
      <c r="B14" s="18" t="inlineStr">
        <is>
          <t>testId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>
      <c r="A15" s="16" t="n"/>
      <c r="B15" s="19" t="n"/>
      <c r="C15" s="19" t="n"/>
      <c r="D15" s="23" t="inlineStr">
        <is>
          <t>value per TC</t>
        </is>
      </c>
      <c r="E15" s="22" t="n"/>
      <c r="F15" s="24" t="inlineStr">
        <is>
          <t>O</t>
        </is>
      </c>
      <c r="G15" s="24" t="inlineStr">
        <is>
          <t>O</t>
        </is>
      </c>
      <c r="H15" s="24" t="inlineStr">
        <is>
          <t>O</t>
        </is>
      </c>
      <c r="I15" s="24" t="inlineStr">
        <is>
          <t>O</t>
        </is>
      </c>
      <c r="J15" s="24" t="inlineStr">
        <is>
          <t>O</t>
        </is>
      </c>
      <c r="K15" s="24" t="inlineStr">
        <is>
          <t>O</t>
        </is>
      </c>
      <c r="L15" s="24" t="inlineStr">
        <is>
          <t>O</t>
        </is>
      </c>
      <c r="M15" s="24" t="inlineStr">
        <is>
          <t>O</t>
        </is>
      </c>
      <c r="N15" s="24" t="inlineStr">
        <is>
          <t>O</t>
        </is>
      </c>
      <c r="O15" s="24" t="inlineStr">
        <is>
          <t>O</t>
        </is>
      </c>
      <c r="P15" s="24" t="inlineStr">
        <is>
          <t>O</t>
        </is>
      </c>
      <c r="Q15" s="24" t="inlineStr">
        <is>
          <t>O</t>
        </is>
      </c>
      <c r="R15" s="24" t="inlineStr">
        <is>
          <t>O</t>
        </is>
      </c>
      <c r="S15" s="24" t="inlineStr">
        <is>
          <t>O</t>
        </is>
      </c>
      <c r="T15" s="24" t="inlineStr">
        <is>
          <t>O</t>
        </is>
      </c>
      <c r="U15" s="24" t="inlineStr">
        <is>
          <t>O</t>
        </is>
      </c>
      <c r="V15" s="24" t="inlineStr">
        <is>
          <t>O</t>
        </is>
      </c>
      <c r="W15" s="24" t="inlineStr">
        <is>
          <t>O</t>
        </is>
      </c>
      <c r="X15" s="24" t="inlineStr">
        <is>
          <t>O</t>
        </is>
      </c>
      <c r="Y15" s="24" t="inlineStr">
        <is>
          <t>O</t>
        </is>
      </c>
      <c r="Z15" s="24" t="inlineStr">
        <is>
          <t>O</t>
        </is>
      </c>
      <c r="AA15" s="24" t="inlineStr">
        <is>
          <t>O</t>
        </is>
      </c>
      <c r="AB15" s="24" t="inlineStr">
        <is>
          <t>O</t>
        </is>
      </c>
      <c r="AC15" s="24" t="inlineStr">
        <is>
          <t>O</t>
        </is>
      </c>
      <c r="AD15" s="24" t="inlineStr">
        <is>
          <t>O</t>
        </is>
      </c>
      <c r="AE15" s="24" t="inlineStr">
        <is>
          <t>O</t>
        </is>
      </c>
      <c r="AF15" s="24" t="inlineStr">
        <is>
          <t>O</t>
        </is>
      </c>
      <c r="AG15" s="24" t="inlineStr">
        <is>
          <t>O</t>
        </is>
      </c>
      <c r="AH15" s="24" t="inlineStr">
        <is>
          <t>O</t>
        </is>
      </c>
      <c r="AI15" s="24" t="inlineStr">
        <is>
          <t>O</t>
        </is>
      </c>
      <c r="AJ15" s="24" t="inlineStr">
        <is>
          <t>O</t>
        </is>
      </c>
      <c r="AK15" s="24" t="inlineStr">
        <is>
          <t>O</t>
        </is>
      </c>
      <c r="AL15" s="24" t="inlineStr">
        <is>
          <t>O</t>
        </is>
      </c>
      <c r="AM15" s="24" t="inlineStr">
        <is>
          <t>O</t>
        </is>
      </c>
      <c r="AN15" s="24" t="inlineStr">
        <is>
          <t>O</t>
        </is>
      </c>
      <c r="AO15" s="24" t="inlineStr">
        <is>
          <t>O</t>
        </is>
      </c>
      <c r="AP15" s="24" t="inlineStr">
        <is>
          <t>O</t>
        </is>
      </c>
      <c r="AQ15" s="24" t="inlineStr">
        <is>
          <t>O</t>
        </is>
      </c>
      <c r="AR15" s="24" t="inlineStr">
        <is>
          <t>O</t>
        </is>
      </c>
      <c r="AS15" s="24" t="inlineStr">
        <is>
          <t>O</t>
        </is>
      </c>
      <c r="AT15" s="24" t="inlineStr">
        <is>
          <t>O</t>
        </is>
      </c>
      <c r="AU15" s="24" t="inlineStr">
        <is>
          <t>O</t>
        </is>
      </c>
      <c r="AV15" s="24" t="inlineStr">
        <is>
          <t>O</t>
        </is>
      </c>
      <c r="AW15" s="24" t="inlineStr">
        <is>
          <t>O</t>
        </is>
      </c>
      <c r="AX15" s="24" t="inlineStr">
        <is>
          <t>O</t>
        </is>
      </c>
    </row>
    <row r="16">
      <c r="A16" s="16" t="n"/>
      <c r="B16" s="19" t="n"/>
      <c r="C16" s="19" t="n"/>
      <c r="D16" s="19" t="n"/>
      <c r="E16" s="2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>
      <c r="A17" s="16" t="n"/>
      <c r="B17" s="18" t="inlineStr">
        <is>
          <t>scenario</t>
        </is>
      </c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>
      <c r="A18" s="16" t="n"/>
      <c r="B18" s="19" t="n"/>
      <c r="C18" s="19" t="n"/>
      <c r="D18" s="23" t="inlineStr">
        <is>
          <t>value per TC</t>
        </is>
      </c>
      <c r="E18" s="22" t="n"/>
      <c r="F18" s="24" t="inlineStr">
        <is>
          <t>O</t>
        </is>
      </c>
      <c r="G18" s="24" t="inlineStr">
        <is>
          <t>O</t>
        </is>
      </c>
      <c r="H18" s="24" t="inlineStr">
        <is>
          <t>O</t>
        </is>
      </c>
      <c r="I18" s="24" t="inlineStr">
        <is>
          <t>O</t>
        </is>
      </c>
      <c r="J18" s="24" t="inlineStr">
        <is>
          <t>O</t>
        </is>
      </c>
      <c r="K18" s="24" t="inlineStr">
        <is>
          <t>O</t>
        </is>
      </c>
      <c r="L18" s="24" t="inlineStr">
        <is>
          <t>O</t>
        </is>
      </c>
      <c r="M18" s="24" t="inlineStr">
        <is>
          <t>O</t>
        </is>
      </c>
      <c r="N18" s="24" t="inlineStr">
        <is>
          <t>O</t>
        </is>
      </c>
      <c r="O18" s="24" t="inlineStr">
        <is>
          <t>O</t>
        </is>
      </c>
      <c r="P18" s="24" t="inlineStr">
        <is>
          <t>O</t>
        </is>
      </c>
      <c r="Q18" s="24" t="inlineStr">
        <is>
          <t>O</t>
        </is>
      </c>
      <c r="R18" s="24" t="inlineStr">
        <is>
          <t>O</t>
        </is>
      </c>
      <c r="S18" s="24" t="inlineStr">
        <is>
          <t>O</t>
        </is>
      </c>
      <c r="T18" s="24" t="inlineStr">
        <is>
          <t>O</t>
        </is>
      </c>
      <c r="U18" s="24" t="inlineStr">
        <is>
          <t>O</t>
        </is>
      </c>
      <c r="V18" s="24" t="inlineStr">
        <is>
          <t>O</t>
        </is>
      </c>
      <c r="W18" s="24" t="inlineStr">
        <is>
          <t>O</t>
        </is>
      </c>
      <c r="X18" s="24" t="inlineStr">
        <is>
          <t>O</t>
        </is>
      </c>
      <c r="Y18" s="24" t="inlineStr">
        <is>
          <t>O</t>
        </is>
      </c>
      <c r="Z18" s="24" t="inlineStr">
        <is>
          <t>O</t>
        </is>
      </c>
      <c r="AA18" s="24" t="inlineStr">
        <is>
          <t>O</t>
        </is>
      </c>
      <c r="AB18" s="24" t="inlineStr">
        <is>
          <t>O</t>
        </is>
      </c>
      <c r="AC18" s="24" t="inlineStr">
        <is>
          <t>O</t>
        </is>
      </c>
      <c r="AD18" s="24" t="inlineStr">
        <is>
          <t>O</t>
        </is>
      </c>
      <c r="AE18" s="24" t="inlineStr">
        <is>
          <t>O</t>
        </is>
      </c>
      <c r="AF18" s="24" t="inlineStr">
        <is>
          <t>O</t>
        </is>
      </c>
      <c r="AG18" s="24" t="inlineStr">
        <is>
          <t>O</t>
        </is>
      </c>
      <c r="AH18" s="24" t="inlineStr">
        <is>
          <t>O</t>
        </is>
      </c>
      <c r="AI18" s="24" t="inlineStr">
        <is>
          <t>O</t>
        </is>
      </c>
      <c r="AJ18" s="24" t="inlineStr">
        <is>
          <t>O</t>
        </is>
      </c>
      <c r="AK18" s="24" t="inlineStr">
        <is>
          <t>O</t>
        </is>
      </c>
      <c r="AL18" s="24" t="inlineStr">
        <is>
          <t>O</t>
        </is>
      </c>
      <c r="AM18" s="24" t="inlineStr">
        <is>
          <t>O</t>
        </is>
      </c>
      <c r="AN18" s="24" t="inlineStr">
        <is>
          <t>O</t>
        </is>
      </c>
      <c r="AO18" s="24" t="inlineStr">
        <is>
          <t>O</t>
        </is>
      </c>
      <c r="AP18" s="24" t="inlineStr">
        <is>
          <t>O</t>
        </is>
      </c>
      <c r="AQ18" s="24" t="inlineStr">
        <is>
          <t>O</t>
        </is>
      </c>
      <c r="AR18" s="24" t="inlineStr">
        <is>
          <t>O</t>
        </is>
      </c>
      <c r="AS18" s="24" t="inlineStr">
        <is>
          <t>O</t>
        </is>
      </c>
      <c r="AT18" s="24" t="inlineStr">
        <is>
          <t>O</t>
        </is>
      </c>
      <c r="AU18" s="24" t="inlineStr">
        <is>
          <t>O</t>
        </is>
      </c>
      <c r="AV18" s="24" t="inlineStr">
        <is>
          <t>O</t>
        </is>
      </c>
      <c r="AW18" s="24" t="inlineStr">
        <is>
          <t>O</t>
        </is>
      </c>
      <c r="AX18" s="24" t="inlineStr">
        <is>
          <t>O</t>
        </is>
      </c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>
      <c r="A20" s="16" t="n"/>
      <c r="B20" s="18" t="inlineStr">
        <is>
          <t>userRole</t>
        </is>
      </c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>
      <c r="A21" s="16" t="n"/>
      <c r="B21" s="19" t="n"/>
      <c r="C21" s="19" t="n"/>
      <c r="D21" s="23" t="inlineStr">
        <is>
          <t>value per TC</t>
        </is>
      </c>
      <c r="E21" s="22" t="n"/>
      <c r="F21" s="24" t="inlineStr">
        <is>
          <t>O</t>
        </is>
      </c>
      <c r="G21" s="24" t="inlineStr">
        <is>
          <t>O</t>
        </is>
      </c>
      <c r="H21" s="24" t="inlineStr">
        <is>
          <t>O</t>
        </is>
      </c>
      <c r="I21" s="24" t="inlineStr">
        <is>
          <t>O</t>
        </is>
      </c>
      <c r="J21" s="24" t="inlineStr">
        <is>
          <t>O</t>
        </is>
      </c>
      <c r="K21" s="24" t="inlineStr">
        <is>
          <t>O</t>
        </is>
      </c>
      <c r="L21" s="24" t="inlineStr">
        <is>
          <t>O</t>
        </is>
      </c>
      <c r="M21" s="24" t="inlineStr">
        <is>
          <t>O</t>
        </is>
      </c>
      <c r="N21" s="24" t="inlineStr">
        <is>
          <t>O</t>
        </is>
      </c>
      <c r="O21" s="24" t="inlineStr">
        <is>
          <t>O</t>
        </is>
      </c>
      <c r="P21" s="24" t="inlineStr">
        <is>
          <t>O</t>
        </is>
      </c>
      <c r="Q21" s="24" t="inlineStr">
        <is>
          <t>O</t>
        </is>
      </c>
      <c r="R21" s="24" t="inlineStr">
        <is>
          <t>O</t>
        </is>
      </c>
      <c r="S21" s="24" t="inlineStr">
        <is>
          <t>O</t>
        </is>
      </c>
      <c r="T21" s="24" t="inlineStr">
        <is>
          <t>O</t>
        </is>
      </c>
      <c r="U21" s="24" t="inlineStr">
        <is>
          <t>O</t>
        </is>
      </c>
      <c r="V21" s="24" t="inlineStr">
        <is>
          <t>O</t>
        </is>
      </c>
      <c r="W21" s="24" t="inlineStr">
        <is>
          <t>O</t>
        </is>
      </c>
      <c r="X21" s="24" t="inlineStr">
        <is>
          <t>O</t>
        </is>
      </c>
      <c r="Y21" s="24" t="inlineStr">
        <is>
          <t>O</t>
        </is>
      </c>
      <c r="Z21" s="24" t="inlineStr">
        <is>
          <t>O</t>
        </is>
      </c>
      <c r="AA21" s="24" t="inlineStr">
        <is>
          <t>O</t>
        </is>
      </c>
      <c r="AB21" s="24" t="inlineStr">
        <is>
          <t>O</t>
        </is>
      </c>
      <c r="AC21" s="24" t="inlineStr">
        <is>
          <t>O</t>
        </is>
      </c>
      <c r="AD21" s="24" t="inlineStr">
        <is>
          <t>O</t>
        </is>
      </c>
      <c r="AE21" s="24" t="inlineStr">
        <is>
          <t>O</t>
        </is>
      </c>
      <c r="AF21" s="24" t="inlineStr">
        <is>
          <t>O</t>
        </is>
      </c>
      <c r="AG21" s="24" t="inlineStr">
        <is>
          <t>O</t>
        </is>
      </c>
      <c r="AH21" s="24" t="inlineStr">
        <is>
          <t>O</t>
        </is>
      </c>
      <c r="AI21" s="24" t="inlineStr">
        <is>
          <t>O</t>
        </is>
      </c>
      <c r="AJ21" s="24" t="inlineStr">
        <is>
          <t>O</t>
        </is>
      </c>
      <c r="AK21" s="24" t="inlineStr">
        <is>
          <t>O</t>
        </is>
      </c>
      <c r="AL21" s="24" t="inlineStr">
        <is>
          <t>O</t>
        </is>
      </c>
      <c r="AM21" s="24" t="inlineStr">
        <is>
          <t>O</t>
        </is>
      </c>
      <c r="AN21" s="24" t="inlineStr">
        <is>
          <t>O</t>
        </is>
      </c>
      <c r="AO21" s="24" t="inlineStr">
        <is>
          <t>O</t>
        </is>
      </c>
      <c r="AP21" s="24" t="inlineStr">
        <is>
          <t>O</t>
        </is>
      </c>
      <c r="AQ21" s="24" t="inlineStr">
        <is>
          <t>O</t>
        </is>
      </c>
      <c r="AR21" s="24" t="inlineStr">
        <is>
          <t>O</t>
        </is>
      </c>
      <c r="AS21" s="24" t="inlineStr">
        <is>
          <t>O</t>
        </is>
      </c>
      <c r="AT21" s="24" t="inlineStr">
        <is>
          <t>O</t>
        </is>
      </c>
      <c r="AU21" s="24" t="inlineStr">
        <is>
          <t>O</t>
        </is>
      </c>
      <c r="AV21" s="24" t="inlineStr">
        <is>
          <t>O</t>
        </is>
      </c>
      <c r="AW21" s="24" t="inlineStr">
        <is>
          <t>O</t>
        </is>
      </c>
      <c r="AX21" s="24" t="inlineStr">
        <is>
          <t>O</t>
        </is>
      </c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>
      <c r="A23" s="16" t="n"/>
      <c r="B23" s="18" t="inlineStr">
        <is>
          <t>borrowCount</t>
        </is>
      </c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>
      <c r="A24" s="16" t="n"/>
      <c r="B24" s="19" t="n"/>
      <c r="C24" s="19" t="n"/>
      <c r="D24" s="23" t="inlineStr">
        <is>
          <t>value per TC</t>
        </is>
      </c>
      <c r="E24" s="22" t="n"/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  <c r="I24" s="24" t="inlineStr">
        <is>
          <t>O</t>
        </is>
      </c>
      <c r="J24" s="24" t="inlineStr">
        <is>
          <t>O</t>
        </is>
      </c>
      <c r="K24" s="24" t="inlineStr">
        <is>
          <t>O</t>
        </is>
      </c>
      <c r="L24" s="24" t="inlineStr">
        <is>
          <t>O</t>
        </is>
      </c>
      <c r="M24" s="24" t="inlineStr">
        <is>
          <t>O</t>
        </is>
      </c>
      <c r="N24" s="24" t="inlineStr">
        <is>
          <t>O</t>
        </is>
      </c>
      <c r="O24" s="24" t="inlineStr">
        <is>
          <t>O</t>
        </is>
      </c>
      <c r="P24" s="24" t="inlineStr">
        <is>
          <t>O</t>
        </is>
      </c>
      <c r="Q24" s="24" t="inlineStr">
        <is>
          <t>O</t>
        </is>
      </c>
      <c r="R24" s="24" t="inlineStr">
        <is>
          <t>O</t>
        </is>
      </c>
      <c r="S24" s="24" t="inlineStr">
        <is>
          <t>O</t>
        </is>
      </c>
      <c r="T24" s="24" t="inlineStr">
        <is>
          <t>O</t>
        </is>
      </c>
      <c r="U24" s="24" t="inlineStr">
        <is>
          <t>O</t>
        </is>
      </c>
      <c r="V24" s="24" t="inlineStr">
        <is>
          <t>O</t>
        </is>
      </c>
      <c r="W24" s="24" t="inlineStr">
        <is>
          <t>O</t>
        </is>
      </c>
      <c r="X24" s="24" t="inlineStr">
        <is>
          <t>O</t>
        </is>
      </c>
      <c r="Y24" s="24" t="inlineStr">
        <is>
          <t>O</t>
        </is>
      </c>
      <c r="Z24" s="24" t="inlineStr">
        <is>
          <t>O</t>
        </is>
      </c>
      <c r="AA24" s="24" t="inlineStr">
        <is>
          <t>O</t>
        </is>
      </c>
      <c r="AB24" s="24" t="inlineStr">
        <is>
          <t>O</t>
        </is>
      </c>
      <c r="AC24" s="24" t="inlineStr">
        <is>
          <t>O</t>
        </is>
      </c>
      <c r="AD24" s="24" t="inlineStr">
        <is>
          <t>O</t>
        </is>
      </c>
      <c r="AE24" s="24" t="inlineStr">
        <is>
          <t>O</t>
        </is>
      </c>
      <c r="AF24" s="24" t="inlineStr">
        <is>
          <t>O</t>
        </is>
      </c>
      <c r="AG24" s="24" t="inlineStr">
        <is>
          <t>O</t>
        </is>
      </c>
      <c r="AH24" s="24" t="inlineStr">
        <is>
          <t>O</t>
        </is>
      </c>
      <c r="AI24" s="24" t="inlineStr">
        <is>
          <t>O</t>
        </is>
      </c>
      <c r="AJ24" s="24" t="inlineStr">
        <is>
          <t>O</t>
        </is>
      </c>
      <c r="AK24" s="24" t="inlineStr">
        <is>
          <t>O</t>
        </is>
      </c>
      <c r="AL24" s="24" t="inlineStr">
        <is>
          <t>O</t>
        </is>
      </c>
      <c r="AM24" s="24" t="inlineStr">
        <is>
          <t>O</t>
        </is>
      </c>
      <c r="AN24" s="24" t="inlineStr">
        <is>
          <t>O</t>
        </is>
      </c>
      <c r="AO24" s="24" t="inlineStr">
        <is>
          <t>O</t>
        </is>
      </c>
      <c r="AP24" s="24" t="inlineStr">
        <is>
          <t>O</t>
        </is>
      </c>
      <c r="AQ24" s="24" t="inlineStr">
        <is>
          <t>O</t>
        </is>
      </c>
      <c r="AR24" s="24" t="inlineStr">
        <is>
          <t>O</t>
        </is>
      </c>
      <c r="AS24" s="24" t="inlineStr">
        <is>
          <t>O</t>
        </is>
      </c>
      <c r="AT24" s="24" t="inlineStr">
        <is>
          <t>O</t>
        </is>
      </c>
      <c r="AU24" s="24" t="inlineStr">
        <is>
          <t>O</t>
        </is>
      </c>
      <c r="AV24" s="24" t="inlineStr">
        <is>
          <t>O</t>
        </is>
      </c>
      <c r="AW24" s="24" t="inlineStr">
        <is>
          <t>O</t>
        </is>
      </c>
      <c r="AX24" s="24" t="inlineStr">
        <is>
          <t>O</t>
        </is>
      </c>
    </row>
    <row r="25">
      <c r="A25" s="16" t="n"/>
      <c r="B25" s="19" t="n"/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>
      <c r="A26" s="16" t="n"/>
      <c r="B26" s="18" t="inlineStr">
        <is>
          <t>aiReturnsNull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>
      <c r="A27" s="16" t="n"/>
      <c r="B27" s="19" t="n"/>
      <c r="C27" s="19" t="n"/>
      <c r="D27" s="23" t="inlineStr">
        <is>
          <t>value per TC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24" t="inlineStr">
        <is>
          <t>O</t>
        </is>
      </c>
      <c r="P27" s="24" t="inlineStr">
        <is>
          <t>O</t>
        </is>
      </c>
      <c r="Q27" s="24" t="inlineStr">
        <is>
          <t>O</t>
        </is>
      </c>
      <c r="R27" s="24" t="inlineStr">
        <is>
          <t>O</t>
        </is>
      </c>
      <c r="S27" s="24" t="inlineStr">
        <is>
          <t>O</t>
        </is>
      </c>
      <c r="T27" s="24" t="inlineStr">
        <is>
          <t>O</t>
        </is>
      </c>
      <c r="U27" s="24" t="inlineStr">
        <is>
          <t>O</t>
        </is>
      </c>
      <c r="V27" s="24" t="inlineStr">
        <is>
          <t>O</t>
        </is>
      </c>
      <c r="W27" s="24" t="inlineStr">
        <is>
          <t>O</t>
        </is>
      </c>
      <c r="X27" s="24" t="inlineStr">
        <is>
          <t>O</t>
        </is>
      </c>
      <c r="Y27" s="24" t="inlineStr">
        <is>
          <t>O</t>
        </is>
      </c>
      <c r="Z27" s="24" t="inlineStr">
        <is>
          <t>O</t>
        </is>
      </c>
      <c r="AA27" s="24" t="inlineStr">
        <is>
          <t>O</t>
        </is>
      </c>
      <c r="AB27" s="24" t="inlineStr">
        <is>
          <t>O</t>
        </is>
      </c>
      <c r="AC27" s="24" t="inlineStr">
        <is>
          <t>O</t>
        </is>
      </c>
      <c r="AD27" s="24" t="inlineStr">
        <is>
          <t>O</t>
        </is>
      </c>
      <c r="AE27" s="24" t="inlineStr">
        <is>
          <t>O</t>
        </is>
      </c>
      <c r="AF27" s="24" t="inlineStr">
        <is>
          <t>O</t>
        </is>
      </c>
      <c r="AG27" s="24" t="inlineStr">
        <is>
          <t>O</t>
        </is>
      </c>
      <c r="AH27" s="24" t="inlineStr">
        <is>
          <t>O</t>
        </is>
      </c>
      <c r="AI27" s="24" t="inlineStr">
        <is>
          <t>O</t>
        </is>
      </c>
      <c r="AJ27" s="24" t="inlineStr">
        <is>
          <t>O</t>
        </is>
      </c>
      <c r="AK27" s="24" t="inlineStr">
        <is>
          <t>O</t>
        </is>
      </c>
      <c r="AL27" s="24" t="inlineStr">
        <is>
          <t>O</t>
        </is>
      </c>
      <c r="AM27" s="24" t="inlineStr">
        <is>
          <t>O</t>
        </is>
      </c>
      <c r="AN27" s="24" t="inlineStr">
        <is>
          <t>O</t>
        </is>
      </c>
      <c r="AO27" s="24" t="inlineStr">
        <is>
          <t>O</t>
        </is>
      </c>
      <c r="AP27" s="24" t="inlineStr">
        <is>
          <t>O</t>
        </is>
      </c>
      <c r="AQ27" s="24" t="inlineStr">
        <is>
          <t>O</t>
        </is>
      </c>
      <c r="AR27" s="24" t="inlineStr">
        <is>
          <t>O</t>
        </is>
      </c>
      <c r="AS27" s="24" t="inlineStr">
        <is>
          <t>O</t>
        </is>
      </c>
      <c r="AT27" s="24" t="inlineStr">
        <is>
          <t>O</t>
        </is>
      </c>
      <c r="AU27" s="24" t="inlineStr">
        <is>
          <t>O</t>
        </is>
      </c>
      <c r="AV27" s="24" t="inlineStr">
        <is>
          <t>O</t>
        </is>
      </c>
      <c r="AW27" s="24" t="inlineStr">
        <is>
          <t>O</t>
        </is>
      </c>
      <c r="AX27" s="24" t="inlineStr">
        <is>
          <t>O</t>
        </is>
      </c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>
      <c r="A29" s="16" t="n"/>
      <c r="B29" s="18" t="inlineStr">
        <is>
          <t>aiReturnsEmpty</t>
        </is>
      </c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>
      <c r="A30" s="16" t="n"/>
      <c r="B30" s="19" t="n"/>
      <c r="C30" s="19" t="n"/>
      <c r="D30" s="23" t="inlineStr">
        <is>
          <t>value per TC</t>
        </is>
      </c>
      <c r="E30" s="22" t="n"/>
      <c r="F30" s="24" t="inlineStr">
        <is>
          <t>O</t>
        </is>
      </c>
      <c r="G30" s="24" t="inlineStr">
        <is>
          <t>O</t>
        </is>
      </c>
      <c r="H30" s="24" t="inlineStr">
        <is>
          <t>O</t>
        </is>
      </c>
      <c r="I30" s="24" t="inlineStr">
        <is>
          <t>O</t>
        </is>
      </c>
      <c r="J30" s="24" t="inlineStr">
        <is>
          <t>O</t>
        </is>
      </c>
      <c r="K30" s="24" t="inlineStr">
        <is>
          <t>O</t>
        </is>
      </c>
      <c r="L30" s="24" t="inlineStr">
        <is>
          <t>O</t>
        </is>
      </c>
      <c r="M30" s="24" t="inlineStr">
        <is>
          <t>O</t>
        </is>
      </c>
      <c r="N30" s="24" t="inlineStr">
        <is>
          <t>O</t>
        </is>
      </c>
      <c r="O30" s="24" t="inlineStr">
        <is>
          <t>O</t>
        </is>
      </c>
      <c r="P30" s="24" t="inlineStr">
        <is>
          <t>O</t>
        </is>
      </c>
      <c r="Q30" s="24" t="inlineStr">
        <is>
          <t>O</t>
        </is>
      </c>
      <c r="R30" s="24" t="inlineStr">
        <is>
          <t>O</t>
        </is>
      </c>
      <c r="S30" s="24" t="inlineStr">
        <is>
          <t>O</t>
        </is>
      </c>
      <c r="T30" s="24" t="inlineStr">
        <is>
          <t>O</t>
        </is>
      </c>
      <c r="U30" s="24" t="inlineStr">
        <is>
          <t>O</t>
        </is>
      </c>
      <c r="V30" s="24" t="inlineStr">
        <is>
          <t>O</t>
        </is>
      </c>
      <c r="W30" s="24" t="inlineStr">
        <is>
          <t>O</t>
        </is>
      </c>
      <c r="X30" s="24" t="inlineStr">
        <is>
          <t>O</t>
        </is>
      </c>
      <c r="Y30" s="24" t="inlineStr">
        <is>
          <t>O</t>
        </is>
      </c>
      <c r="Z30" s="24" t="inlineStr">
        <is>
          <t>O</t>
        </is>
      </c>
      <c r="AA30" s="24" t="inlineStr">
        <is>
          <t>O</t>
        </is>
      </c>
      <c r="AB30" s="24" t="inlineStr">
        <is>
          <t>O</t>
        </is>
      </c>
      <c r="AC30" s="24" t="inlineStr">
        <is>
          <t>O</t>
        </is>
      </c>
      <c r="AD30" s="24" t="inlineStr">
        <is>
          <t>O</t>
        </is>
      </c>
      <c r="AE30" s="24" t="inlineStr">
        <is>
          <t>O</t>
        </is>
      </c>
      <c r="AF30" s="24" t="inlineStr">
        <is>
          <t>O</t>
        </is>
      </c>
      <c r="AG30" s="24" t="inlineStr">
        <is>
          <t>O</t>
        </is>
      </c>
      <c r="AH30" s="24" t="inlineStr">
        <is>
          <t>O</t>
        </is>
      </c>
      <c r="AI30" s="24" t="inlineStr">
        <is>
          <t>O</t>
        </is>
      </c>
      <c r="AJ30" s="24" t="inlineStr">
        <is>
          <t>O</t>
        </is>
      </c>
      <c r="AK30" s="24" t="inlineStr">
        <is>
          <t>O</t>
        </is>
      </c>
      <c r="AL30" s="24" t="inlineStr">
        <is>
          <t>O</t>
        </is>
      </c>
      <c r="AM30" s="24" t="inlineStr">
        <is>
          <t>O</t>
        </is>
      </c>
      <c r="AN30" s="24" t="inlineStr">
        <is>
          <t>O</t>
        </is>
      </c>
      <c r="AO30" s="24" t="inlineStr">
        <is>
          <t>O</t>
        </is>
      </c>
      <c r="AP30" s="24" t="inlineStr">
        <is>
          <t>O</t>
        </is>
      </c>
      <c r="AQ30" s="24" t="inlineStr">
        <is>
          <t>O</t>
        </is>
      </c>
      <c r="AR30" s="24" t="inlineStr">
        <is>
          <t>O</t>
        </is>
      </c>
      <c r="AS30" s="24" t="inlineStr">
        <is>
          <t>O</t>
        </is>
      </c>
      <c r="AT30" s="24" t="inlineStr">
        <is>
          <t>O</t>
        </is>
      </c>
      <c r="AU30" s="24" t="inlineStr">
        <is>
          <t>O</t>
        </is>
      </c>
      <c r="AV30" s="24" t="inlineStr">
        <is>
          <t>O</t>
        </is>
      </c>
      <c r="AW30" s="24" t="inlineStr">
        <is>
          <t>O</t>
        </is>
      </c>
      <c r="AX30" s="24" t="inlineStr">
        <is>
          <t>O</t>
        </is>
      </c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>
      <c r="A32" s="16" t="n"/>
      <c r="B32" s="18" t="inlineStr">
        <is>
          <t>cacheHit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>
      <c r="A33" s="16" t="n"/>
      <c r="B33" s="19" t="n"/>
      <c r="C33" s="19" t="n"/>
      <c r="D33" s="23" t="inlineStr">
        <is>
          <t>value per TC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  <c r="U33" s="24" t="inlineStr">
        <is>
          <t>O</t>
        </is>
      </c>
      <c r="V33" s="24" t="inlineStr">
        <is>
          <t>O</t>
        </is>
      </c>
      <c r="W33" s="24" t="inlineStr">
        <is>
          <t>O</t>
        </is>
      </c>
      <c r="X33" s="24" t="inlineStr">
        <is>
          <t>O</t>
        </is>
      </c>
      <c r="Y33" s="24" t="inlineStr">
        <is>
          <t>O</t>
        </is>
      </c>
      <c r="Z33" s="24" t="inlineStr">
        <is>
          <t>O</t>
        </is>
      </c>
      <c r="AA33" s="24" t="inlineStr">
        <is>
          <t>O</t>
        </is>
      </c>
      <c r="AB33" s="24" t="inlineStr">
        <is>
          <t>O</t>
        </is>
      </c>
      <c r="AC33" s="24" t="inlineStr">
        <is>
          <t>O</t>
        </is>
      </c>
      <c r="AD33" s="24" t="inlineStr">
        <is>
          <t>O</t>
        </is>
      </c>
      <c r="AE33" s="24" t="inlineStr">
        <is>
          <t>O</t>
        </is>
      </c>
      <c r="AF33" s="24" t="inlineStr">
        <is>
          <t>O</t>
        </is>
      </c>
      <c r="AG33" s="24" t="inlineStr">
        <is>
          <t>O</t>
        </is>
      </c>
      <c r="AH33" s="24" t="inlineStr">
        <is>
          <t>O</t>
        </is>
      </c>
      <c r="AI33" s="24" t="inlineStr">
        <is>
          <t>O</t>
        </is>
      </c>
      <c r="AJ33" s="24" t="inlineStr">
        <is>
          <t>O</t>
        </is>
      </c>
      <c r="AK33" s="24" t="inlineStr">
        <is>
          <t>O</t>
        </is>
      </c>
      <c r="AL33" s="24" t="inlineStr">
        <is>
          <t>O</t>
        </is>
      </c>
      <c r="AM33" s="24" t="inlineStr">
        <is>
          <t>O</t>
        </is>
      </c>
      <c r="AN33" s="24" t="inlineStr">
        <is>
          <t>O</t>
        </is>
      </c>
      <c r="AO33" s="24" t="inlineStr">
        <is>
          <t>O</t>
        </is>
      </c>
      <c r="AP33" s="24" t="inlineStr">
        <is>
          <t>O</t>
        </is>
      </c>
      <c r="AQ33" s="24" t="inlineStr">
        <is>
          <t>O</t>
        </is>
      </c>
      <c r="AR33" s="24" t="inlineStr">
        <is>
          <t>O</t>
        </is>
      </c>
      <c r="AS33" s="24" t="inlineStr">
        <is>
          <t>O</t>
        </is>
      </c>
      <c r="AT33" s="24" t="inlineStr">
        <is>
          <t>O</t>
        </is>
      </c>
      <c r="AU33" s="24" t="inlineStr">
        <is>
          <t>O</t>
        </is>
      </c>
      <c r="AV33" s="24" t="inlineStr">
        <is>
          <t>O</t>
        </is>
      </c>
      <c r="AW33" s="24" t="inlineStr">
        <is>
          <t>O</t>
        </is>
      </c>
      <c r="AX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>
      <c r="A35" s="16" t="n"/>
      <c r="B35" s="18" t="inlineStr">
        <is>
          <t>expectedIsAi</t>
        </is>
      </c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>
      <c r="A36" s="16" t="n"/>
      <c r="B36" s="19" t="n"/>
      <c r="C36" s="19" t="n"/>
      <c r="D36" s="23" t="inlineStr">
        <is>
          <t>value per TC</t>
        </is>
      </c>
      <c r="E36" s="22" t="n"/>
      <c r="F36" s="24" t="inlineStr">
        <is>
          <t>O</t>
        </is>
      </c>
      <c r="G36" s="24" t="inlineStr">
        <is>
          <t>O</t>
        </is>
      </c>
      <c r="H36" s="24" t="inlineStr">
        <is>
          <t>O</t>
        </is>
      </c>
      <c r="I36" s="24" t="inlineStr">
        <is>
          <t>O</t>
        </is>
      </c>
      <c r="J36" s="24" t="inlineStr">
        <is>
          <t>O</t>
        </is>
      </c>
      <c r="K36" s="24" t="inlineStr">
        <is>
          <t>O</t>
        </is>
      </c>
      <c r="L36" s="24" t="inlineStr">
        <is>
          <t>O</t>
        </is>
      </c>
      <c r="M36" s="24" t="inlineStr">
        <is>
          <t>O</t>
        </is>
      </c>
      <c r="N36" s="24" t="inlineStr">
        <is>
          <t>O</t>
        </is>
      </c>
      <c r="O36" s="24" t="inlineStr">
        <is>
          <t>O</t>
        </is>
      </c>
      <c r="P36" s="24" t="inlineStr">
        <is>
          <t>O</t>
        </is>
      </c>
      <c r="Q36" s="24" t="inlineStr">
        <is>
          <t>O</t>
        </is>
      </c>
      <c r="R36" s="24" t="inlineStr">
        <is>
          <t>O</t>
        </is>
      </c>
      <c r="S36" s="24" t="inlineStr">
        <is>
          <t>O</t>
        </is>
      </c>
      <c r="T36" s="24" t="inlineStr">
        <is>
          <t>O</t>
        </is>
      </c>
      <c r="U36" s="24" t="inlineStr">
        <is>
          <t>O</t>
        </is>
      </c>
      <c r="V36" s="24" t="inlineStr">
        <is>
          <t>O</t>
        </is>
      </c>
      <c r="W36" s="24" t="inlineStr">
        <is>
          <t>O</t>
        </is>
      </c>
      <c r="X36" s="24" t="inlineStr">
        <is>
          <t>O</t>
        </is>
      </c>
      <c r="Y36" s="24" t="inlineStr">
        <is>
          <t>O</t>
        </is>
      </c>
      <c r="Z36" s="24" t="inlineStr">
        <is>
          <t>O</t>
        </is>
      </c>
      <c r="AA36" s="24" t="inlineStr">
        <is>
          <t>O</t>
        </is>
      </c>
      <c r="AB36" s="24" t="inlineStr">
        <is>
          <t>O</t>
        </is>
      </c>
      <c r="AC36" s="24" t="inlineStr">
        <is>
          <t>O</t>
        </is>
      </c>
      <c r="AD36" s="24" t="inlineStr">
        <is>
          <t>O</t>
        </is>
      </c>
      <c r="AE36" s="24" t="inlineStr">
        <is>
          <t>O</t>
        </is>
      </c>
      <c r="AF36" s="24" t="inlineStr">
        <is>
          <t>O</t>
        </is>
      </c>
      <c r="AG36" s="24" t="inlineStr">
        <is>
          <t>O</t>
        </is>
      </c>
      <c r="AH36" s="24" t="inlineStr">
        <is>
          <t>O</t>
        </is>
      </c>
      <c r="AI36" s="24" t="inlineStr">
        <is>
          <t>O</t>
        </is>
      </c>
      <c r="AJ36" s="24" t="inlineStr">
        <is>
          <t>O</t>
        </is>
      </c>
      <c r="AK36" s="24" t="inlineStr">
        <is>
          <t>O</t>
        </is>
      </c>
      <c r="AL36" s="24" t="inlineStr">
        <is>
          <t>O</t>
        </is>
      </c>
      <c r="AM36" s="24" t="inlineStr">
        <is>
          <t>O</t>
        </is>
      </c>
      <c r="AN36" s="24" t="inlineStr">
        <is>
          <t>O</t>
        </is>
      </c>
      <c r="AO36" s="24" t="inlineStr">
        <is>
          <t>O</t>
        </is>
      </c>
      <c r="AP36" s="24" t="inlineStr">
        <is>
          <t>O</t>
        </is>
      </c>
      <c r="AQ36" s="24" t="inlineStr">
        <is>
          <t>O</t>
        </is>
      </c>
      <c r="AR36" s="24" t="inlineStr">
        <is>
          <t>O</t>
        </is>
      </c>
      <c r="AS36" s="24" t="inlineStr">
        <is>
          <t>O</t>
        </is>
      </c>
      <c r="AT36" s="24" t="inlineStr">
        <is>
          <t>O</t>
        </is>
      </c>
      <c r="AU36" s="24" t="inlineStr">
        <is>
          <t>O</t>
        </is>
      </c>
      <c r="AV36" s="24" t="inlineStr">
        <is>
          <t>O</t>
        </is>
      </c>
      <c r="AW36" s="24" t="inlineStr">
        <is>
          <t>O</t>
        </is>
      </c>
      <c r="AX36" s="24" t="inlineStr">
        <is>
          <t>O</t>
        </is>
      </c>
    </row>
    <row r="37">
      <c r="A37" s="16" t="n"/>
      <c r="B37" s="19" t="n"/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9">
      <c r="A39" s="15" t="inlineStr">
        <is>
          <t>Confirm</t>
        </is>
      </c>
      <c r="B39" s="18" t="inlineStr">
        <is>
          <t>Return</t>
        </is>
      </c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>
      <c r="A40" s="16" t="n"/>
      <c r="B40" s="19" t="n"/>
      <c r="C40" s="19" t="n"/>
      <c r="D40" s="23" t="inlineStr">
        <is>
          <t>Assertion verified</t>
        </is>
      </c>
      <c r="E40" s="22" t="n"/>
      <c r="F40" s="24" t="inlineStr">
        <is>
          <t>O</t>
        </is>
      </c>
      <c r="G40" s="24" t="inlineStr">
        <is>
          <t>O</t>
        </is>
      </c>
      <c r="H40" s="24" t="inlineStr">
        <is>
          <t>O</t>
        </is>
      </c>
      <c r="I40" s="24" t="inlineStr">
        <is>
          <t>O</t>
        </is>
      </c>
      <c r="J40" s="24" t="inlineStr">
        <is>
          <t>O</t>
        </is>
      </c>
      <c r="K40" s="24" t="inlineStr">
        <is>
          <t>O</t>
        </is>
      </c>
      <c r="L40" s="24" t="inlineStr">
        <is>
          <t>O</t>
        </is>
      </c>
      <c r="M40" s="24" t="inlineStr">
        <is>
          <t>O</t>
        </is>
      </c>
      <c r="N40" s="24" t="inlineStr">
        <is>
          <t>O</t>
        </is>
      </c>
      <c r="O40" s="24" t="inlineStr">
        <is>
          <t>O</t>
        </is>
      </c>
      <c r="P40" s="24" t="inlineStr">
        <is>
          <t>O</t>
        </is>
      </c>
      <c r="Q40" s="24" t="inlineStr">
        <is>
          <t>O</t>
        </is>
      </c>
      <c r="R40" s="24" t="inlineStr">
        <is>
          <t>O</t>
        </is>
      </c>
      <c r="S40" s="24" t="inlineStr">
        <is>
          <t>O</t>
        </is>
      </c>
      <c r="T40" s="24" t="inlineStr">
        <is>
          <t>O</t>
        </is>
      </c>
      <c r="U40" s="24" t="inlineStr">
        <is>
          <t>O</t>
        </is>
      </c>
      <c r="V40" s="24" t="inlineStr">
        <is>
          <t>O</t>
        </is>
      </c>
      <c r="W40" s="24" t="inlineStr">
        <is>
          <t>O</t>
        </is>
      </c>
      <c r="X40" s="24" t="inlineStr">
        <is>
          <t>O</t>
        </is>
      </c>
      <c r="Y40" s="24" t="inlineStr">
        <is>
          <t>O</t>
        </is>
      </c>
      <c r="Z40" s="24" t="inlineStr">
        <is>
          <t>O</t>
        </is>
      </c>
      <c r="AA40" s="24" t="inlineStr">
        <is>
          <t>O</t>
        </is>
      </c>
      <c r="AB40" s="24" t="inlineStr">
        <is>
          <t>O</t>
        </is>
      </c>
      <c r="AC40" s="24" t="inlineStr">
        <is>
          <t>O</t>
        </is>
      </c>
      <c r="AD40" s="24" t="inlineStr">
        <is>
          <t>O</t>
        </is>
      </c>
      <c r="AE40" s="24" t="inlineStr">
        <is>
          <t>O</t>
        </is>
      </c>
      <c r="AF40" s="24" t="inlineStr">
        <is>
          <t>O</t>
        </is>
      </c>
      <c r="AG40" s="24" t="inlineStr">
        <is>
          <t>O</t>
        </is>
      </c>
      <c r="AH40" s="24" t="inlineStr">
        <is>
          <t>O</t>
        </is>
      </c>
      <c r="AI40" s="24" t="inlineStr">
        <is>
          <t>O</t>
        </is>
      </c>
      <c r="AJ40" s="24" t="inlineStr">
        <is>
          <t>O</t>
        </is>
      </c>
      <c r="AK40" s="24" t="inlineStr">
        <is>
          <t>O</t>
        </is>
      </c>
      <c r="AL40" s="24" t="inlineStr">
        <is>
          <t>O</t>
        </is>
      </c>
      <c r="AM40" s="24" t="inlineStr">
        <is>
          <t>O</t>
        </is>
      </c>
      <c r="AN40" s="24" t="inlineStr">
        <is>
          <t>O</t>
        </is>
      </c>
      <c r="AO40" s="24" t="inlineStr">
        <is>
          <t>O</t>
        </is>
      </c>
      <c r="AP40" s="24" t="inlineStr">
        <is>
          <t>O</t>
        </is>
      </c>
      <c r="AQ40" s="24" t="inlineStr">
        <is>
          <t>O</t>
        </is>
      </c>
      <c r="AR40" s="24" t="inlineStr">
        <is>
          <t>O</t>
        </is>
      </c>
      <c r="AS40" s="24" t="inlineStr">
        <is>
          <t>O</t>
        </is>
      </c>
      <c r="AT40" s="24" t="inlineStr">
        <is>
          <t>O</t>
        </is>
      </c>
      <c r="AU40" s="24" t="inlineStr">
        <is>
          <t>O</t>
        </is>
      </c>
      <c r="AV40" s="24" t="inlineStr">
        <is>
          <t>O</t>
        </is>
      </c>
      <c r="AW40" s="24" t="inlineStr">
        <is>
          <t>O</t>
        </is>
      </c>
      <c r="AX40" s="24" t="inlineStr">
        <is>
          <t>O</t>
        </is>
      </c>
    </row>
    <row r="41">
      <c r="A41" s="16" t="n"/>
      <c r="B41" s="19" t="n"/>
      <c r="C41" s="19" t="n"/>
      <c r="D41" s="19" t="n"/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>
      <c r="A42" s="16" t="n"/>
      <c r="B42" s="18" t="inlineStr">
        <is>
          <t>Exception</t>
        </is>
      </c>
      <c r="C42" s="19" t="n"/>
      <c r="D42" s="19" t="n"/>
      <c r="E42" s="22" t="n"/>
      <c r="F42" s="24" t="inlineStr">
        <is>
          <t>O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>
      <c r="A43" s="16" t="n"/>
      <c r="B43" s="19" t="n"/>
      <c r="C43" s="19" t="n"/>
      <c r="D43" s="19" t="n"/>
      <c r="E43" s="2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>
      <c r="A44" s="16" t="n"/>
      <c r="B44" s="18" t="inlineStr">
        <is>
          <t>Log message</t>
        </is>
      </c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>
      <c r="A45" s="16" t="n"/>
      <c r="B45" s="19" t="n"/>
      <c r="C45" s="19" t="n"/>
      <c r="D45" s="19" t="n"/>
      <c r="E45" s="2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>
      <c r="A47" s="15" t="inlineStr">
        <is>
          <t>Result</t>
        </is>
      </c>
      <c r="B47" s="17" t="inlineStr">
        <is>
          <t>Type(N : Normal, A : Abnormal, B : Boundary)</t>
        </is>
      </c>
      <c r="C47" s="4" t="n"/>
      <c r="D47" s="4" t="n"/>
      <c r="E47" s="4" t="n"/>
      <c r="F47" s="25" t="inlineStr">
        <is>
          <t>A</t>
        </is>
      </c>
      <c r="G47" s="25" t="inlineStr">
        <is>
          <t>N</t>
        </is>
      </c>
      <c r="H47" s="25" t="inlineStr">
        <is>
          <t>N</t>
        </is>
      </c>
      <c r="I47" s="25" t="inlineStr">
        <is>
          <t>N</t>
        </is>
      </c>
      <c r="J47" s="25" t="inlineStr">
        <is>
          <t>N</t>
        </is>
      </c>
      <c r="K47" s="25" t="inlineStr">
        <is>
          <t>N</t>
        </is>
      </c>
      <c r="L47" s="25" t="inlineStr">
        <is>
          <t>N</t>
        </is>
      </c>
      <c r="M47" s="25" t="inlineStr">
        <is>
          <t>N</t>
        </is>
      </c>
      <c r="N47" s="25" t="inlineStr">
        <is>
          <t>N</t>
        </is>
      </c>
      <c r="O47" s="25" t="inlineStr">
        <is>
          <t>N</t>
        </is>
      </c>
      <c r="P47" s="25" t="inlineStr">
        <is>
          <t>N</t>
        </is>
      </c>
      <c r="Q47" s="25" t="inlineStr">
        <is>
          <t>N</t>
        </is>
      </c>
      <c r="R47" s="25" t="inlineStr">
        <is>
          <t>N</t>
        </is>
      </c>
      <c r="S47" s="25" t="inlineStr">
        <is>
          <t>N</t>
        </is>
      </c>
      <c r="T47" s="25" t="inlineStr">
        <is>
          <t>N</t>
        </is>
      </c>
      <c r="U47" s="25" t="inlineStr">
        <is>
          <t>N</t>
        </is>
      </c>
      <c r="V47" s="25" t="inlineStr">
        <is>
          <t>N</t>
        </is>
      </c>
      <c r="W47" s="25" t="inlineStr">
        <is>
          <t>N</t>
        </is>
      </c>
      <c r="X47" s="25" t="inlineStr">
        <is>
          <t>N</t>
        </is>
      </c>
      <c r="Y47" s="25" t="inlineStr">
        <is>
          <t>N</t>
        </is>
      </c>
      <c r="Z47" s="25" t="inlineStr">
        <is>
          <t>N</t>
        </is>
      </c>
      <c r="AA47" s="25" t="inlineStr">
        <is>
          <t>N</t>
        </is>
      </c>
      <c r="AB47" s="25" t="inlineStr">
        <is>
          <t>N</t>
        </is>
      </c>
      <c r="AC47" s="25" t="inlineStr">
        <is>
          <t>N</t>
        </is>
      </c>
      <c r="AD47" s="25" t="inlineStr">
        <is>
          <t>N</t>
        </is>
      </c>
      <c r="AE47" s="25" t="inlineStr">
        <is>
          <t>N</t>
        </is>
      </c>
      <c r="AF47" s="25" t="inlineStr">
        <is>
          <t>N</t>
        </is>
      </c>
      <c r="AG47" s="25" t="inlineStr">
        <is>
          <t>N</t>
        </is>
      </c>
      <c r="AH47" s="25" t="inlineStr">
        <is>
          <t>N</t>
        </is>
      </c>
      <c r="AI47" s="25" t="inlineStr">
        <is>
          <t>N</t>
        </is>
      </c>
      <c r="AJ47" s="25" t="inlineStr">
        <is>
          <t>N</t>
        </is>
      </c>
      <c r="AK47" s="25" t="inlineStr">
        <is>
          <t>N</t>
        </is>
      </c>
      <c r="AL47" s="25" t="inlineStr">
        <is>
          <t>N</t>
        </is>
      </c>
      <c r="AM47" s="25" t="inlineStr">
        <is>
          <t>N</t>
        </is>
      </c>
      <c r="AN47" s="25" t="inlineStr">
        <is>
          <t>N</t>
        </is>
      </c>
      <c r="AO47" s="25" t="inlineStr">
        <is>
          <t>N</t>
        </is>
      </c>
      <c r="AP47" s="25" t="inlineStr">
        <is>
          <t>N</t>
        </is>
      </c>
      <c r="AQ47" s="25" t="inlineStr">
        <is>
          <t>N</t>
        </is>
      </c>
      <c r="AR47" s="25" t="inlineStr">
        <is>
          <t>N</t>
        </is>
      </c>
      <c r="AS47" s="25" t="inlineStr">
        <is>
          <t>N</t>
        </is>
      </c>
      <c r="AT47" s="25" t="inlineStr">
        <is>
          <t>N</t>
        </is>
      </c>
      <c r="AU47" s="25" t="inlineStr">
        <is>
          <t>N</t>
        </is>
      </c>
      <c r="AV47" s="25" t="inlineStr">
        <is>
          <t>N</t>
        </is>
      </c>
      <c r="AW47" s="25" t="inlineStr">
        <is>
          <t>N</t>
        </is>
      </c>
      <c r="AX47" s="25" t="inlineStr">
        <is>
          <t>N</t>
        </is>
      </c>
    </row>
    <row r="48">
      <c r="A48" s="16" t="n"/>
      <c r="B48" s="17" t="inlineStr">
        <is>
          <t>Passed/Failed</t>
        </is>
      </c>
      <c r="C48" s="4" t="n"/>
      <c r="D48" s="4" t="n"/>
      <c r="E48" s="4" t="n"/>
      <c r="F48" s="25" t="inlineStr">
        <is>
          <t>P</t>
        </is>
      </c>
      <c r="G48" s="25" t="inlineStr">
        <is>
          <t>P</t>
        </is>
      </c>
      <c r="H48" s="25" t="inlineStr">
        <is>
          <t>P</t>
        </is>
      </c>
      <c r="I48" s="25" t="inlineStr">
        <is>
          <t>P</t>
        </is>
      </c>
      <c r="J48" s="25" t="inlineStr">
        <is>
          <t>P</t>
        </is>
      </c>
      <c r="K48" s="25" t="inlineStr">
        <is>
          <t>P</t>
        </is>
      </c>
      <c r="L48" s="25" t="inlineStr">
        <is>
          <t>P</t>
        </is>
      </c>
      <c r="M48" s="25" t="inlineStr">
        <is>
          <t>P</t>
        </is>
      </c>
      <c r="N48" s="25" t="inlineStr">
        <is>
          <t>P</t>
        </is>
      </c>
      <c r="O48" s="25" t="inlineStr">
        <is>
          <t>P</t>
        </is>
      </c>
      <c r="P48" s="25" t="inlineStr">
        <is>
          <t>P</t>
        </is>
      </c>
      <c r="Q48" s="25" t="inlineStr">
        <is>
          <t>P</t>
        </is>
      </c>
      <c r="R48" s="25" t="inlineStr">
        <is>
          <t>P</t>
        </is>
      </c>
      <c r="S48" s="25" t="inlineStr">
        <is>
          <t>P</t>
        </is>
      </c>
      <c r="T48" s="25" t="inlineStr">
        <is>
          <t>P</t>
        </is>
      </c>
      <c r="U48" s="25" t="inlineStr">
        <is>
          <t>P</t>
        </is>
      </c>
      <c r="V48" s="25" t="inlineStr">
        <is>
          <t>P</t>
        </is>
      </c>
      <c r="W48" s="25" t="inlineStr">
        <is>
          <t>P</t>
        </is>
      </c>
      <c r="X48" s="25" t="inlineStr">
        <is>
          <t>P</t>
        </is>
      </c>
      <c r="Y48" s="25" t="inlineStr">
        <is>
          <t>P</t>
        </is>
      </c>
      <c r="Z48" s="25" t="inlineStr">
        <is>
          <t>P</t>
        </is>
      </c>
      <c r="AA48" s="25" t="inlineStr">
        <is>
          <t>P</t>
        </is>
      </c>
      <c r="AB48" s="25" t="inlineStr">
        <is>
          <t>P</t>
        </is>
      </c>
      <c r="AC48" s="25" t="inlineStr">
        <is>
          <t>P</t>
        </is>
      </c>
      <c r="AD48" s="25" t="inlineStr">
        <is>
          <t>P</t>
        </is>
      </c>
      <c r="AE48" s="25" t="inlineStr">
        <is>
          <t>P</t>
        </is>
      </c>
      <c r="AF48" s="25" t="inlineStr">
        <is>
          <t>P</t>
        </is>
      </c>
      <c r="AG48" s="25" t="inlineStr">
        <is>
          <t>P</t>
        </is>
      </c>
      <c r="AH48" s="25" t="inlineStr">
        <is>
          <t>P</t>
        </is>
      </c>
      <c r="AI48" s="25" t="inlineStr">
        <is>
          <t>P</t>
        </is>
      </c>
      <c r="AJ48" s="25" t="inlineStr">
        <is>
          <t>P</t>
        </is>
      </c>
      <c r="AK48" s="25" t="inlineStr">
        <is>
          <t>P</t>
        </is>
      </c>
      <c r="AL48" s="25" t="inlineStr">
        <is>
          <t>P</t>
        </is>
      </c>
      <c r="AM48" s="25" t="inlineStr">
        <is>
          <t>P</t>
        </is>
      </c>
      <c r="AN48" s="25" t="inlineStr">
        <is>
          <t>P</t>
        </is>
      </c>
      <c r="AO48" s="25" t="inlineStr">
        <is>
          <t>P</t>
        </is>
      </c>
      <c r="AP48" s="25" t="inlineStr">
        <is>
          <t>P</t>
        </is>
      </c>
      <c r="AQ48" s="25" t="inlineStr">
        <is>
          <t>P</t>
        </is>
      </c>
      <c r="AR48" s="25" t="inlineStr">
        <is>
          <t>P</t>
        </is>
      </c>
      <c r="AS48" s="25" t="inlineStr">
        <is>
          <t>P</t>
        </is>
      </c>
      <c r="AT48" s="25" t="inlineStr">
        <is>
          <t>P</t>
        </is>
      </c>
      <c r="AU48" s="25" t="inlineStr">
        <is>
          <t>P</t>
        </is>
      </c>
      <c r="AV48" s="25" t="inlineStr">
        <is>
          <t>P</t>
        </is>
      </c>
      <c r="AW48" s="25" t="inlineStr">
        <is>
          <t>P</t>
        </is>
      </c>
      <c r="AX48" s="25" t="inlineStr">
        <is>
          <t>P</t>
        </is>
      </c>
    </row>
    <row r="49">
      <c r="A49" s="16" t="n"/>
      <c r="B49" s="17" t="inlineStr">
        <is>
          <t>Executed Date</t>
        </is>
      </c>
      <c r="C49" s="4" t="n"/>
      <c r="D49" s="4" t="n"/>
      <c r="E49" s="4" t="n"/>
      <c r="F49" s="26" t="n">
        <v>46215</v>
      </c>
      <c r="G49" s="26" t="n">
        <v>46215</v>
      </c>
      <c r="H49" s="26" t="n">
        <v>46215</v>
      </c>
      <c r="I49" s="26" t="n">
        <v>46215</v>
      </c>
      <c r="J49" s="26" t="n">
        <v>46215</v>
      </c>
      <c r="K49" s="26" t="n">
        <v>46215</v>
      </c>
      <c r="L49" s="26" t="n">
        <v>46215</v>
      </c>
      <c r="M49" s="26" t="n">
        <v>46215</v>
      </c>
      <c r="N49" s="26" t="n">
        <v>46215</v>
      </c>
      <c r="O49" s="26" t="n">
        <v>46215</v>
      </c>
      <c r="P49" s="26" t="n">
        <v>46215</v>
      </c>
      <c r="Q49" s="26" t="n">
        <v>46215</v>
      </c>
      <c r="R49" s="26" t="n">
        <v>46215</v>
      </c>
      <c r="S49" s="26" t="n">
        <v>46215</v>
      </c>
      <c r="T49" s="26" t="n">
        <v>46215</v>
      </c>
      <c r="U49" s="26" t="n">
        <v>46215</v>
      </c>
      <c r="V49" s="26" t="n">
        <v>46215</v>
      </c>
      <c r="W49" s="26" t="n">
        <v>46215</v>
      </c>
      <c r="X49" s="26" t="n">
        <v>46215</v>
      </c>
      <c r="Y49" s="26" t="n">
        <v>46215</v>
      </c>
      <c r="Z49" s="26" t="n">
        <v>46215</v>
      </c>
      <c r="AA49" s="26" t="n">
        <v>46215</v>
      </c>
      <c r="AB49" s="26" t="n">
        <v>46215</v>
      </c>
      <c r="AC49" s="26" t="n">
        <v>46215</v>
      </c>
      <c r="AD49" s="26" t="n">
        <v>46215</v>
      </c>
      <c r="AE49" s="26" t="n">
        <v>46215</v>
      </c>
      <c r="AF49" s="26" t="n">
        <v>46215</v>
      </c>
      <c r="AG49" s="26" t="n">
        <v>46215</v>
      </c>
      <c r="AH49" s="26" t="n">
        <v>46215</v>
      </c>
      <c r="AI49" s="26" t="n">
        <v>46215</v>
      </c>
      <c r="AJ49" s="26" t="n">
        <v>46215</v>
      </c>
      <c r="AK49" s="26" t="n">
        <v>46215</v>
      </c>
      <c r="AL49" s="26" t="n">
        <v>46215</v>
      </c>
      <c r="AM49" s="26" t="n">
        <v>46215</v>
      </c>
      <c r="AN49" s="26" t="n">
        <v>46215</v>
      </c>
      <c r="AO49" s="26" t="n">
        <v>46215</v>
      </c>
      <c r="AP49" s="26" t="n">
        <v>46215</v>
      </c>
      <c r="AQ49" s="26" t="n">
        <v>46215</v>
      </c>
      <c r="AR49" s="26" t="n">
        <v>46215</v>
      </c>
      <c r="AS49" s="26" t="n">
        <v>46215</v>
      </c>
      <c r="AT49" s="26" t="n">
        <v>46215</v>
      </c>
      <c r="AU49" s="26" t="n">
        <v>46215</v>
      </c>
      <c r="AV49" s="26" t="n">
        <v>46215</v>
      </c>
      <c r="AW49" s="26" t="n">
        <v>46215</v>
      </c>
      <c r="AX49" s="26" t="n">
        <v>46215</v>
      </c>
    </row>
    <row r="50">
      <c r="A50" s="16" t="n"/>
      <c r="B50" s="17" t="inlineStr">
        <is>
          <t>Defect ID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</sheetData>
  <mergeCells count="27">
    <mergeCell ref="B49:E49"/>
    <mergeCell ref="C5:AX5"/>
    <mergeCell ref="F2:K2"/>
    <mergeCell ref="A6:B6"/>
    <mergeCell ref="C4:D4"/>
    <mergeCell ref="C2:E2"/>
    <mergeCell ref="A7:B7"/>
    <mergeCell ref="B50:E50"/>
    <mergeCell ref="L4:AX4"/>
    <mergeCell ref="B47:E47"/>
    <mergeCell ref="C7:E7"/>
    <mergeCell ref="L6:N6"/>
    <mergeCell ref="A3:B3"/>
    <mergeCell ref="A2:B2"/>
    <mergeCell ref="A5:B5"/>
    <mergeCell ref="B48:E48"/>
    <mergeCell ref="C3:E3"/>
    <mergeCell ref="F4:K4"/>
    <mergeCell ref="C6:E6"/>
    <mergeCell ref="A4:B4"/>
    <mergeCell ref="F6:K6"/>
    <mergeCell ref="O7:AX7"/>
    <mergeCell ref="L2:AX2"/>
    <mergeCell ref="F7:K7"/>
    <mergeCell ref="L3:N3"/>
    <mergeCell ref="F3:K3"/>
    <mergeCell ref="O6:AX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T3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2">
      <c r="A2" s="15" t="inlineStr">
        <is>
          <t>Function Code</t>
        </is>
      </c>
      <c r="B2" s="16" t="n"/>
      <c r="C2" s="17" t="inlineStr">
        <is>
          <t>AuthServiceTest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AuthService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163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5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AuthService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COUNTIF(F37:P37,"P")</f>
        <v/>
      </c>
      <c r="B7" s="4" t="n"/>
      <c r="C7" s="20">
        <f>COUNTIF(F37:P37,"F")</f>
        <v/>
      </c>
      <c r="D7" s="4" t="n"/>
      <c r="E7" s="4" t="n"/>
      <c r="F7" s="20">
        <f>11-A7-C7</f>
        <v/>
      </c>
      <c r="G7" s="4" t="n"/>
      <c r="H7" s="4" t="n"/>
      <c r="I7" s="4" t="n"/>
      <c r="J7" s="4" t="n"/>
      <c r="K7" s="4" t="n"/>
      <c r="L7" s="17">
        <f>COUNTIF(F36:P36,"N")</f>
        <v/>
      </c>
      <c r="M7" s="17">
        <f>COUNTIF(F36:P36,"A")</f>
        <v/>
      </c>
      <c r="N7" s="17">
        <f>COUNTIF(F36:P36,"B")</f>
        <v/>
      </c>
      <c r="O7" s="20" t="n">
        <v>11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AuthServiceTest — Unit Tests cho AuthSer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 verifyPassword khi nhập sai mật khẩ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 isAccountLocked khi tài khoản không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Test isAccountLocked khi tài khoản bị kh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23" t="inlineStr">
        <is>
          <t>Test isAccountLocked khi tài khoản bị kh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23" t="inlineStr">
        <is>
          <t>Test isAccountLocked khi tài khoản bị kh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23" t="inlineStr">
        <is>
          <t>Test handleFailedLogin bình thường (chưa</t>
        </is>
      </c>
      <c r="E21" s="22" t="n"/>
      <c r="F21" s="4" t="n"/>
      <c r="G21" s="4" t="n"/>
      <c r="H21" s="4" t="n"/>
      <c r="I21" s="4" t="n"/>
      <c r="J21" s="4" t="n"/>
      <c r="K21" s="4" t="n"/>
      <c r="L21" s="24" t="inlineStr">
        <is>
          <t>O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23" t="inlineStr">
        <is>
          <t xml:space="preserve">Test handleFailedLogin khi đạt ngưỡng 5 </t>
        </is>
      </c>
      <c r="E22" s="22" t="n"/>
      <c r="F22" s="4" t="n"/>
      <c r="G22" s="4" t="n"/>
      <c r="H22" s="4" t="n"/>
      <c r="I22" s="4" t="n"/>
      <c r="J22" s="4" t="n"/>
      <c r="K22" s="4" t="n"/>
      <c r="L22" s="4" t="n"/>
      <c r="M22" s="24" t="inlineStr">
        <is>
          <t>O</t>
        </is>
      </c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23" t="inlineStr">
        <is>
          <t>Test generateRandomPassword có độ dài ch</t>
        </is>
      </c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24" t="inlineStr">
        <is>
          <t>O</t>
        </is>
      </c>
      <c r="O23" s="4" t="n"/>
      <c r="P23" s="4" t="n"/>
      <c r="Q23" s="4" t="n"/>
      <c r="R23" s="4" t="n"/>
      <c r="S23" s="4" t="n"/>
      <c r="T23" s="4" t="n"/>
    </row>
    <row r="24">
      <c r="A24" s="16" t="n"/>
      <c r="B24" s="19" t="n"/>
      <c r="C24" s="19" t="n"/>
      <c r="D24" s="23" t="inlineStr">
        <is>
          <t>Test resetPassword cho email tồn tại.</t>
        </is>
      </c>
      <c r="E24" s="22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4" t="inlineStr">
        <is>
          <t>O</t>
        </is>
      </c>
      <c r="P24" s="4" t="n"/>
      <c r="Q24" s="4" t="n"/>
      <c r="R24" s="4" t="n"/>
      <c r="S24" s="4" t="n"/>
      <c r="T24" s="4" t="n"/>
    </row>
    <row r="25">
      <c r="A25" s="16" t="n"/>
      <c r="B25" s="19" t="n"/>
      <c r="C25" s="19" t="n"/>
      <c r="D25" s="23" t="inlineStr">
        <is>
          <t>Test resetPassword cho email không tồn t</t>
        </is>
      </c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24" t="inlineStr">
        <is>
          <t>O</t>
        </is>
      </c>
      <c r="Q25" s="4" t="n"/>
      <c r="R25" s="4" t="n"/>
      <c r="S25" s="4" t="n"/>
      <c r="T25" s="4" t="n"/>
    </row>
    <row r="26">
      <c r="A26" s="16" t="n"/>
      <c r="B26" s="19" t="n"/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8">
      <c r="A28" s="15" t="inlineStr">
        <is>
          <t>Confirm</t>
        </is>
      </c>
      <c r="B28" s="18" t="inlineStr">
        <is>
          <t>Return</t>
        </is>
      </c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23" t="inlineStr">
        <is>
          <t>Assertion verified</t>
        </is>
      </c>
      <c r="E29" s="22" t="n"/>
      <c r="F29" s="24" t="inlineStr">
        <is>
          <t>O</t>
        </is>
      </c>
      <c r="G29" s="24" t="inlineStr">
        <is>
          <t>O</t>
        </is>
      </c>
      <c r="H29" s="24" t="inlineStr">
        <is>
          <t>O</t>
        </is>
      </c>
      <c r="I29" s="24" t="inlineStr">
        <is>
          <t>O</t>
        </is>
      </c>
      <c r="J29" s="24" t="inlineStr">
        <is>
          <t>O</t>
        </is>
      </c>
      <c r="K29" s="24" t="inlineStr">
        <is>
          <t>O</t>
        </is>
      </c>
      <c r="L29" s="24" t="inlineStr">
        <is>
          <t>O</t>
        </is>
      </c>
      <c r="M29" s="24" t="inlineStr">
        <is>
          <t>O</t>
        </is>
      </c>
      <c r="N29" s="24" t="inlineStr">
        <is>
          <t>O</t>
        </is>
      </c>
      <c r="O29" s="24" t="inlineStr">
        <is>
          <t>O</t>
        </is>
      </c>
      <c r="P29" s="24" t="inlineStr">
        <is>
          <t>O</t>
        </is>
      </c>
      <c r="Q29" s="4" t="n"/>
      <c r="R29" s="4" t="n"/>
      <c r="S29" s="4" t="n"/>
      <c r="T29" s="4" t="n"/>
    </row>
    <row r="30">
      <c r="A30" s="16" t="n"/>
      <c r="B30" s="19" t="n"/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8" t="inlineStr">
        <is>
          <t>Exception</t>
        </is>
      </c>
      <c r="C31" s="19" t="n"/>
      <c r="D31" s="19" t="n"/>
      <c r="E31" s="22" t="n"/>
      <c r="F31" s="4" t="n"/>
      <c r="G31" s="24" t="inlineStr">
        <is>
          <t>O</t>
        </is>
      </c>
      <c r="H31" s="24" t="inlineStr">
        <is>
          <t>O</t>
        </is>
      </c>
      <c r="I31" s="24" t="inlineStr">
        <is>
          <t>O</t>
        </is>
      </c>
      <c r="J31" s="24" t="inlineStr">
        <is>
          <t>O</t>
        </is>
      </c>
      <c r="K31" s="24" t="inlineStr">
        <is>
          <t>O</t>
        </is>
      </c>
      <c r="L31" s="24" t="inlineStr">
        <is>
          <t>O</t>
        </is>
      </c>
      <c r="M31" s="4" t="n"/>
      <c r="N31" s="4" t="n"/>
      <c r="O31" s="4" t="n"/>
      <c r="P31" s="24" t="inlineStr">
        <is>
          <t>O</t>
        </is>
      </c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n"/>
      <c r="B33" s="18" t="inlineStr">
        <is>
          <t>Log message</t>
        </is>
      </c>
      <c r="C33" s="19" t="n"/>
      <c r="D33" s="19" t="n"/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9" t="n"/>
      <c r="C35" s="19" t="n"/>
      <c r="D35" s="19" t="n"/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5" t="inlineStr">
        <is>
          <t>Result</t>
        </is>
      </c>
      <c r="B36" s="17" t="inlineStr">
        <is>
          <t>Type(N : Normal, A : Abnormal, B : Boundary)</t>
        </is>
      </c>
      <c r="C36" s="4" t="n"/>
      <c r="D36" s="4" t="n"/>
      <c r="E36" s="4" t="n"/>
      <c r="F36" s="25" t="inlineStr">
        <is>
          <t>N</t>
        </is>
      </c>
      <c r="G36" s="25" t="inlineStr">
        <is>
          <t>A</t>
        </is>
      </c>
      <c r="H36" s="25" t="inlineStr">
        <is>
          <t>A</t>
        </is>
      </c>
      <c r="I36" s="25" t="inlineStr">
        <is>
          <t>A</t>
        </is>
      </c>
      <c r="J36" s="25" t="inlineStr">
        <is>
          <t>A</t>
        </is>
      </c>
      <c r="K36" s="25" t="inlineStr">
        <is>
          <t>A</t>
        </is>
      </c>
      <c r="L36" s="25" t="inlineStr">
        <is>
          <t>A</t>
        </is>
      </c>
      <c r="M36" s="25" t="inlineStr">
        <is>
          <t>B</t>
        </is>
      </c>
      <c r="N36" s="25" t="inlineStr">
        <is>
          <t>N</t>
        </is>
      </c>
      <c r="O36" s="25" t="inlineStr">
        <is>
          <t>N</t>
        </is>
      </c>
      <c r="P36" s="25" t="inlineStr">
        <is>
          <t>A</t>
        </is>
      </c>
      <c r="Q36" s="4" t="n"/>
      <c r="R36" s="4" t="n"/>
      <c r="S36" s="4" t="n"/>
      <c r="T36" s="4" t="n"/>
    </row>
    <row r="37">
      <c r="A37" s="16" t="n"/>
      <c r="B37" s="17" t="inlineStr">
        <is>
          <t>Passed/Failed</t>
        </is>
      </c>
      <c r="C37" s="4" t="n"/>
      <c r="D37" s="4" t="n"/>
      <c r="E37" s="4" t="n"/>
      <c r="F37" s="25" t="inlineStr">
        <is>
          <t>P</t>
        </is>
      </c>
      <c r="G37" s="25" t="inlineStr">
        <is>
          <t>P</t>
        </is>
      </c>
      <c r="H37" s="25" t="inlineStr">
        <is>
          <t>P</t>
        </is>
      </c>
      <c r="I37" s="25" t="inlineStr">
        <is>
          <t>P</t>
        </is>
      </c>
      <c r="J37" s="25" t="inlineStr">
        <is>
          <t>P</t>
        </is>
      </c>
      <c r="K37" s="25" t="inlineStr">
        <is>
          <t>P</t>
        </is>
      </c>
      <c r="L37" s="25" t="inlineStr">
        <is>
          <t>P</t>
        </is>
      </c>
      <c r="M37" s="25" t="inlineStr">
        <is>
          <t>P</t>
        </is>
      </c>
      <c r="N37" s="25" t="inlineStr">
        <is>
          <t>P</t>
        </is>
      </c>
      <c r="O37" s="25" t="inlineStr">
        <is>
          <t>P</t>
        </is>
      </c>
      <c r="P37" s="25" t="inlineStr">
        <is>
          <t>P</t>
        </is>
      </c>
      <c r="Q37" s="4" t="n"/>
      <c r="R37" s="4" t="n"/>
      <c r="S37" s="4" t="n"/>
      <c r="T37" s="4" t="n"/>
    </row>
    <row r="38">
      <c r="A38" s="16" t="n"/>
      <c r="B38" s="17" t="inlineStr">
        <is>
          <t>Executed Date</t>
        </is>
      </c>
      <c r="C38" s="4" t="n"/>
      <c r="D38" s="4" t="n"/>
      <c r="E38" s="4" t="n"/>
      <c r="F38" s="26" t="n">
        <v>46215</v>
      </c>
      <c r="G38" s="26" t="n">
        <v>46215</v>
      </c>
      <c r="H38" s="26" t="n">
        <v>46215</v>
      </c>
      <c r="I38" s="26" t="n">
        <v>46215</v>
      </c>
      <c r="J38" s="26" t="n">
        <v>46215</v>
      </c>
      <c r="K38" s="26" t="n">
        <v>46215</v>
      </c>
      <c r="L38" s="26" t="n">
        <v>46215</v>
      </c>
      <c r="M38" s="26" t="n">
        <v>46215</v>
      </c>
      <c r="N38" s="26" t="n">
        <v>46215</v>
      </c>
      <c r="O38" s="26" t="n">
        <v>46215</v>
      </c>
      <c r="P38" s="26" t="n">
        <v>46215</v>
      </c>
      <c r="Q38" s="4" t="n"/>
      <c r="R38" s="4" t="n"/>
      <c r="S38" s="4" t="n"/>
      <c r="T38" s="4" t="n"/>
    </row>
    <row r="39">
      <c r="A39" s="16" t="n"/>
      <c r="B39" s="17" t="inlineStr">
        <is>
          <t>Defect ID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</sheetData>
  <mergeCells count="27">
    <mergeCell ref="F2:K2"/>
    <mergeCell ref="A6:B6"/>
    <mergeCell ref="B36:E36"/>
    <mergeCell ref="C4:D4"/>
    <mergeCell ref="C2:E2"/>
    <mergeCell ref="L4:T4"/>
    <mergeCell ref="A7:B7"/>
    <mergeCell ref="C7:E7"/>
    <mergeCell ref="L6:N6"/>
    <mergeCell ref="A3:B3"/>
    <mergeCell ref="A2:B2"/>
    <mergeCell ref="A5:B5"/>
    <mergeCell ref="B39:E39"/>
    <mergeCell ref="C3:E3"/>
    <mergeCell ref="F4:K4"/>
    <mergeCell ref="O7:T7"/>
    <mergeCell ref="C6:E6"/>
    <mergeCell ref="A4:B4"/>
    <mergeCell ref="L2:T2"/>
    <mergeCell ref="O6:T6"/>
    <mergeCell ref="F6:K6"/>
    <mergeCell ref="B38:E38"/>
    <mergeCell ref="C5:T5"/>
    <mergeCell ref="F7:K7"/>
    <mergeCell ref="B37:E37"/>
    <mergeCell ref="L3:N3"/>
    <mergeCell ref="F3:K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2">
      <c r="A2" s="15" t="inlineStr">
        <is>
          <t>Function Code</t>
        </is>
      </c>
      <c r="B2" s="16" t="n"/>
      <c r="C2" s="17" t="inlineStr">
        <is>
          <t>BookCopyIncidentServiceTest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BookCopyIncidentService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271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22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BookCopyIncidentService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COUNTIF(F34:J34,"P")</f>
        <v/>
      </c>
      <c r="B7" s="4" t="n"/>
      <c r="C7" s="20">
        <f>COUNTIF(F34:J34,"F")</f>
        <v/>
      </c>
      <c r="D7" s="4" t="n"/>
      <c r="E7" s="4" t="n"/>
      <c r="F7" s="20">
        <f>5-A7-C7</f>
        <v/>
      </c>
      <c r="G7" s="4" t="n"/>
      <c r="H7" s="4" t="n"/>
      <c r="I7" s="4" t="n"/>
      <c r="J7" s="4" t="n"/>
      <c r="K7" s="4" t="n"/>
      <c r="L7" s="17">
        <f>COUNTIF(F33:J33,"N")</f>
        <v/>
      </c>
      <c r="M7" s="17">
        <f>COUNTIF(F33:J33,"A")</f>
        <v/>
      </c>
      <c r="N7" s="17">
        <f>COUNTIF(F33:J33,"B")</f>
        <v/>
      </c>
      <c r="O7" s="20" t="n">
        <v>5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validateReportAcceptsCompleteReport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validateReportRejectsInvalidType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validateReportRejectsMissingDescription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validateResolutionRejectsBlankConclusion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23" t="inlineStr">
        <is>
          <t>validateRepairNoteRejectsBlankNote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24" t="inlineStr">
        <is>
          <t>O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24" t="inlineStr">
        <is>
          <t>O</t>
        </is>
      </c>
      <c r="I28" s="24" t="inlineStr">
        <is>
          <t>O</t>
        </is>
      </c>
      <c r="J28" s="24" t="inlineStr">
        <is>
          <t>O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A</t>
        </is>
      </c>
      <c r="I33" s="25" t="inlineStr">
        <is>
          <t>A</t>
        </is>
      </c>
      <c r="J33" s="25" t="inlineStr">
        <is>
          <t>A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25" t="inlineStr">
        <is>
          <t>P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26" t="n">
        <v>46215</v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</cols>
  <sheetData>
    <row r="2">
      <c r="A2" s="15" t="inlineStr">
        <is>
          <t>Function Code</t>
        </is>
      </c>
      <c r="B2" s="16" t="n"/>
      <c r="C2" s="17" t="inlineStr">
        <is>
          <t>BookCopyServiceTest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BookCopyService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141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11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BookCopyService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COUNTIF(F34:H34,"P")</f>
        <v/>
      </c>
      <c r="B7" s="4" t="n"/>
      <c r="C7" s="20">
        <f>COUNTIF(F34:H34,"F")</f>
        <v/>
      </c>
      <c r="D7" s="4" t="n"/>
      <c r="E7" s="4" t="n"/>
      <c r="F7" s="20">
        <f>3-A7-C7</f>
        <v/>
      </c>
      <c r="G7" s="4" t="n"/>
      <c r="H7" s="4" t="n"/>
      <c r="I7" s="4" t="n"/>
      <c r="J7" s="4" t="n"/>
      <c r="K7" s="4" t="n"/>
      <c r="L7" s="17">
        <f>COUNTIF(F33:H33,"N")</f>
        <v/>
      </c>
      <c r="M7" s="17">
        <f>COUNTIF(F33:H33,"A")</f>
        <v/>
      </c>
      <c r="N7" s="17">
        <f>COUNTIF(F33:H33,"B")</f>
        <v/>
      </c>
      <c r="O7" s="20" t="n">
        <v>3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validateCreateAcceptsValidCopy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validateCreateRejectsMissingBarcode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validateUpdateOnlyRequiresValidLocation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N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</cols>
  <sheetData>
    <row r="2">
      <c r="A2" s="15" t="inlineStr">
        <is>
          <t>Function Code</t>
        </is>
      </c>
      <c r="B2" s="16" t="n"/>
      <c r="C2" s="17" t="inlineStr">
        <is>
          <t>BookImportServiceTest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BookImportService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226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18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BookImportService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COUNTIF(F34:I34,"P")</f>
        <v/>
      </c>
      <c r="B7" s="4" t="n"/>
      <c r="C7" s="20">
        <f>COUNTIF(F34:I34,"F")</f>
        <v/>
      </c>
      <c r="D7" s="4" t="n"/>
      <c r="E7" s="4" t="n"/>
      <c r="F7" s="20">
        <f>4-A7-C7</f>
        <v/>
      </c>
      <c r="G7" s="4" t="n"/>
      <c r="H7" s="4" t="n"/>
      <c r="I7" s="4" t="n"/>
      <c r="J7" s="4" t="n"/>
      <c r="K7" s="4" t="n"/>
      <c r="L7" s="17">
        <f>COUNTIF(F33:I33,"N")</f>
        <v/>
      </c>
      <c r="M7" s="17">
        <f>COUNTIF(F33:I33,"A")</f>
        <v/>
      </c>
      <c r="N7" s="17">
        <f>COUNTIF(F33:I33,"B")</f>
        <v/>
      </c>
      <c r="O7" s="20" t="n">
        <v>4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testValidate_Success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testValidate_Fail_InvalidISBN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testConfirm_Success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testConfirm_Fail_ValidationChanged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24" t="inlineStr">
        <is>
          <t>O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N</t>
        </is>
      </c>
      <c r="I33" s="25" t="inlineStr">
        <is>
          <t>A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2">
      <c r="A2" s="15" t="inlineStr">
        <is>
          <t>Function Code</t>
        </is>
      </c>
      <c r="B2" s="16" t="n"/>
      <c r="C2" s="17" t="inlineStr">
        <is>
          <t>BookServiceTest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134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7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COUNTIF(F34:K34,"P")</f>
        <v/>
      </c>
      <c r="B7" s="4" t="n"/>
      <c r="C7" s="20">
        <f>COUNTIF(F34:K34,"F")</f>
        <v/>
      </c>
      <c r="D7" s="4" t="n"/>
      <c r="E7" s="4" t="n"/>
      <c r="F7" s="20">
        <f>6-A7-C7</f>
        <v/>
      </c>
      <c r="G7" s="4" t="n"/>
      <c r="H7" s="4" t="n"/>
      <c r="I7" s="4" t="n"/>
      <c r="J7" s="4" t="n"/>
      <c r="K7" s="4" t="n"/>
      <c r="L7" s="17">
        <f>COUNTIF(F33:K33,"N")</f>
        <v/>
      </c>
      <c r="M7" s="17">
        <f>COUNTIF(F33:K33,"A")</f>
        <v/>
      </c>
      <c r="N7" s="17">
        <f>COUNTIF(F33:K33,"B")</f>
        <v/>
      </c>
      <c r="O7" s="20" t="n">
        <v>6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validateAcceptsValidNewBook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validateRejectsMissingIsbnWhenCreating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validateNormalizesDashedIsbnWhenCreating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validateRejectsInvalidIsbnChecksumWhenCr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23" t="inlineStr">
        <is>
          <t>validateRejectsNegativePrice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23" t="inlineStr">
        <is>
          <t>validateRejectsInvalidStatus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24" t="inlineStr">
        <is>
          <t>O</t>
        </is>
      </c>
      <c r="K26" s="24" t="inlineStr">
        <is>
          <t>O</t>
        </is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24" t="inlineStr">
        <is>
          <t>O</t>
        </is>
      </c>
      <c r="J28" s="24" t="inlineStr">
        <is>
          <t>O</t>
        </is>
      </c>
      <c r="K28" s="24" t="inlineStr">
        <is>
          <t>O</t>
        </is>
      </c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N</t>
        </is>
      </c>
      <c r="I33" s="25" t="inlineStr">
        <is>
          <t>A</t>
        </is>
      </c>
      <c r="J33" s="25" t="inlineStr">
        <is>
          <t>A</t>
        </is>
      </c>
      <c r="K33" s="25" t="inlineStr">
        <is>
          <t>A</t>
        </is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25" t="inlineStr">
        <is>
          <t>P</t>
        </is>
      </c>
      <c r="K34" s="25" t="inlineStr">
        <is>
          <t>P</t>
        </is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26" t="n">
        <v>46215</v>
      </c>
      <c r="K35" s="26" t="n">
        <v>46215</v>
      </c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</cols>
  <sheetData>
    <row r="2">
      <c r="A2" s="15" t="inlineStr">
        <is>
          <t>Function Code</t>
        </is>
      </c>
      <c r="B2" s="16" t="n"/>
      <c r="C2" s="17" t="inlineStr">
        <is>
          <t>CategoryServiceTest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CategoryService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104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8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CategoryService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COUNTIF(F34:G34,"P")</f>
        <v/>
      </c>
      <c r="B7" s="4" t="n"/>
      <c r="C7" s="20">
        <f>COUNTIF(F34:G34,"F")</f>
        <v/>
      </c>
      <c r="D7" s="4" t="n"/>
      <c r="E7" s="4" t="n"/>
      <c r="F7" s="20">
        <f>2-A7-C7</f>
        <v/>
      </c>
      <c r="G7" s="4" t="n"/>
      <c r="H7" s="4" t="n"/>
      <c r="I7" s="4" t="n"/>
      <c r="J7" s="4" t="n"/>
      <c r="K7" s="4" t="n"/>
      <c r="L7" s="17">
        <f>COUNTIF(F33:G33,"N")</f>
        <v/>
      </c>
      <c r="M7" s="17">
        <f>COUNTIF(F33:G33,"A")</f>
        <v/>
      </c>
      <c r="N7" s="17">
        <f>COUNTIF(F33:G33,"B")</f>
        <v/>
      </c>
      <c r="O7" s="20" t="n">
        <v>2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validateAcceptsValidCategory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validateRejectsMissingName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</cols>
  <sheetData>
    <row r="2">
      <c r="A2" s="15" t="inlineStr">
        <is>
          <t>Function Code</t>
        </is>
      </c>
      <c r="B2" s="16" t="n"/>
      <c r="C2" s="17" t="inlineStr">
        <is>
          <t>InventoryReconciliationServiceT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InventoryReconciliationService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200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18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InventoryReconciliationService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COUNTIF(F34:G34,"P")</f>
        <v/>
      </c>
      <c r="B7" s="4" t="n"/>
      <c r="C7" s="20">
        <f>COUNTIF(F34:G34,"F")</f>
        <v/>
      </c>
      <c r="D7" s="4" t="n"/>
      <c r="E7" s="4" t="n"/>
      <c r="F7" s="20">
        <f>2-A7-C7</f>
        <v/>
      </c>
      <c r="G7" s="4" t="n"/>
      <c r="H7" s="4" t="n"/>
      <c r="I7" s="4" t="n"/>
      <c r="J7" s="4" t="n"/>
      <c r="K7" s="4" t="n"/>
      <c r="L7" s="17">
        <f>COUNTIF(F33:G33,"N")</f>
        <v/>
      </c>
      <c r="M7" s="17">
        <f>COUNTIF(F33:G33,"A")</f>
        <v/>
      </c>
      <c r="N7" s="17">
        <f>COUNTIF(F33:G33,"B")</f>
        <v/>
      </c>
      <c r="O7" s="20" t="n">
        <v>2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validateLocationAcceptsValidLocation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validateLocationRejectsBlankLocation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AF5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2">
      <c r="A2" s="15" t="inlineStr">
        <is>
          <t>Function Code</t>
        </is>
      </c>
      <c r="B2" s="16" t="n"/>
      <c r="C2" s="17" t="inlineStr">
        <is>
          <t>OnlineCirculationServiceTest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OnlineCirculationService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>
      <c r="A4" s="15" t="inlineStr">
        <is>
          <t>Lines  of code</t>
        </is>
      </c>
      <c r="B4" s="16" t="n"/>
      <c r="C4" s="17" t="n">
        <v>573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30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>
      <c r="A5" s="15" t="inlineStr">
        <is>
          <t>Test requirement</t>
        </is>
      </c>
      <c r="B5" s="16" t="n"/>
      <c r="C5" s="17" t="inlineStr">
        <is>
          <t>Unit test for OnlineCirculationService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20">
        <f>COUNTIF(F53:AF53,"P")</f>
        <v/>
      </c>
      <c r="B7" s="4" t="n"/>
      <c r="C7" s="20">
        <f>COUNTIF(F53:AF53,"F")</f>
        <v/>
      </c>
      <c r="D7" s="4" t="n"/>
      <c r="E7" s="4" t="n"/>
      <c r="F7" s="20">
        <f>27-A7-C7</f>
        <v/>
      </c>
      <c r="G7" s="4" t="n"/>
      <c r="H7" s="4" t="n"/>
      <c r="I7" s="4" t="n"/>
      <c r="J7" s="4" t="n"/>
      <c r="K7" s="4" t="n"/>
      <c r="L7" s="17">
        <f>COUNTIF(F52:AF52,"N")</f>
        <v/>
      </c>
      <c r="M7" s="17">
        <f>COUNTIF(F52:AF52,"A")</f>
        <v/>
      </c>
      <c r="N7" s="17">
        <f>COUNTIF(F52:AF52,"B")</f>
        <v/>
      </c>
      <c r="O7" s="20" t="n">
        <v>27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  <c r="U8" s="21" t="inlineStr">
        <is>
          <t>TC016</t>
        </is>
      </c>
      <c r="V8" s="21" t="inlineStr">
        <is>
          <t>TC017</t>
        </is>
      </c>
      <c r="W8" s="21" t="inlineStr">
        <is>
          <t>TC018</t>
        </is>
      </c>
      <c r="X8" s="21" t="inlineStr">
        <is>
          <t>TC019</t>
        </is>
      </c>
      <c r="Y8" s="21" t="inlineStr">
        <is>
          <t>TC020</t>
        </is>
      </c>
      <c r="Z8" s="21" t="inlineStr">
        <is>
          <t>TC021</t>
        </is>
      </c>
      <c r="AA8" s="21" t="inlineStr">
        <is>
          <t>TC022</t>
        </is>
      </c>
      <c r="AB8" s="21" t="inlineStr">
        <is>
          <t>TC023</t>
        </is>
      </c>
      <c r="AC8" s="21" t="inlineStr">
        <is>
          <t>TC024</t>
        </is>
      </c>
      <c r="AD8" s="21" t="inlineStr">
        <is>
          <t>TC025</t>
        </is>
      </c>
      <c r="AE8" s="21" t="inlineStr">
        <is>
          <t>TC026</t>
        </is>
      </c>
      <c r="AF8" s="21" t="inlineStr">
        <is>
          <t>TC027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  <c r="U11" s="24" t="inlineStr">
        <is>
          <t>O</t>
        </is>
      </c>
      <c r="V11" s="24" t="inlineStr">
        <is>
          <t>O</t>
        </is>
      </c>
      <c r="W11" s="24" t="inlineStr">
        <is>
          <t>O</t>
        </is>
      </c>
      <c r="X11" s="24" t="inlineStr">
        <is>
          <t>O</t>
        </is>
      </c>
      <c r="Y11" s="24" t="inlineStr">
        <is>
          <t>O</t>
        </is>
      </c>
      <c r="Z11" s="24" t="inlineStr">
        <is>
          <t>O</t>
        </is>
      </c>
      <c r="AA11" s="24" t="inlineStr">
        <is>
          <t>O</t>
        </is>
      </c>
      <c r="AB11" s="24" t="inlineStr">
        <is>
          <t>O</t>
        </is>
      </c>
      <c r="AC11" s="24" t="inlineStr">
        <is>
          <t>O</t>
        </is>
      </c>
      <c r="AD11" s="24" t="inlineStr">
        <is>
          <t>O</t>
        </is>
      </c>
      <c r="AE11" s="24" t="inlineStr">
        <is>
          <t>O</t>
        </is>
      </c>
      <c r="AF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</row>
    <row r="15">
      <c r="A15" s="16" t="n"/>
      <c r="B15" s="19" t="n"/>
      <c r="C15" s="19" t="n"/>
      <c r="D15" s="23" t="inlineStr">
        <is>
          <t>testReserveBook_UserNotFound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</row>
    <row r="16">
      <c r="A16" s="16" t="n"/>
      <c r="B16" s="19" t="n"/>
      <c r="C16" s="19" t="n"/>
      <c r="D16" s="23" t="inlineStr">
        <is>
          <t>testReserveBook_UserNotActive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</row>
    <row r="17">
      <c r="A17" s="16" t="n"/>
      <c r="B17" s="19" t="n"/>
      <c r="C17" s="19" t="n"/>
      <c r="D17" s="23" t="inlineStr">
        <is>
          <t>testReserveBook_AlreadyBorrowed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</row>
    <row r="18">
      <c r="A18" s="16" t="n"/>
      <c r="B18" s="19" t="n"/>
      <c r="C18" s="19" t="n"/>
      <c r="D18" s="23" t="inlineStr">
        <is>
          <t>testReserveBook_AlreadyReserved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</row>
    <row r="19">
      <c r="A19" s="16" t="n"/>
      <c r="B19" s="19" t="n"/>
      <c r="C19" s="19" t="n"/>
      <c r="D19" s="23" t="inlineStr">
        <is>
          <t>testReserveBook_LimitExceeded_Student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</row>
    <row r="20">
      <c r="A20" s="16" t="n"/>
      <c r="B20" s="19" t="n"/>
      <c r="C20" s="19" t="n"/>
      <c r="D20" s="23" t="inlineStr">
        <is>
          <t>testReserveBook_LimitExceeded_Lecturer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</row>
    <row r="21">
      <c r="A21" s="16" t="n"/>
      <c r="B21" s="19" t="n"/>
      <c r="C21" s="19" t="n"/>
      <c r="D21" s="23" t="inlineStr">
        <is>
          <t>testReserveBook_BookNotFound</t>
        </is>
      </c>
      <c r="E21" s="22" t="n"/>
      <c r="F21" s="4" t="n"/>
      <c r="G21" s="4" t="n"/>
      <c r="H21" s="4" t="n"/>
      <c r="I21" s="4" t="n"/>
      <c r="J21" s="4" t="n"/>
      <c r="K21" s="4" t="n"/>
      <c r="L21" s="24" t="inlineStr">
        <is>
          <t>O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</row>
    <row r="22">
      <c r="A22" s="16" t="n"/>
      <c r="B22" s="19" t="n"/>
      <c r="C22" s="19" t="n"/>
      <c r="D22" s="23" t="inlineStr">
        <is>
          <t>testReserveBook_BookNotAvailable</t>
        </is>
      </c>
      <c r="E22" s="22" t="n"/>
      <c r="F22" s="4" t="n"/>
      <c r="G22" s="4" t="n"/>
      <c r="H22" s="4" t="n"/>
      <c r="I22" s="4" t="n"/>
      <c r="J22" s="4" t="n"/>
      <c r="K22" s="4" t="n"/>
      <c r="L22" s="4" t="n"/>
      <c r="M22" s="24" t="inlineStr">
        <is>
          <t>O</t>
        </is>
      </c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</row>
    <row r="23">
      <c r="A23" s="16" t="n"/>
      <c r="B23" s="19" t="n"/>
      <c r="C23" s="19" t="n"/>
      <c r="D23" s="23" t="inlineStr">
        <is>
          <t>testReserveBook_Success_ReadyPickup</t>
        </is>
      </c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24" t="inlineStr">
        <is>
          <t>O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</row>
    <row r="24">
      <c r="A24" s="16" t="n"/>
      <c r="B24" s="19" t="n"/>
      <c r="C24" s="19" t="n"/>
      <c r="D24" s="23" t="inlineStr">
        <is>
          <t>testReserveBook_Success_PendingQueue</t>
        </is>
      </c>
      <c r="E24" s="22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4" t="inlineStr">
        <is>
          <t>O</t>
        </is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</row>
    <row r="25">
      <c r="A25" s="16" t="n"/>
      <c r="B25" s="19" t="n"/>
      <c r="C25" s="19" t="n"/>
      <c r="D25" s="23" t="inlineStr">
        <is>
          <t>testCancelReservation_UserNotFound</t>
        </is>
      </c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24" t="inlineStr">
        <is>
          <t>O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</row>
    <row r="26">
      <c r="A26" s="16" t="n"/>
      <c r="B26" s="19" t="n"/>
      <c r="C26" s="19" t="n"/>
      <c r="D26" s="23" t="inlineStr">
        <is>
          <t>testCancelReservation_UserNotActive</t>
        </is>
      </c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24" t="inlineStr">
        <is>
          <t>O</t>
        </is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</row>
    <row r="27">
      <c r="A27" s="16" t="n"/>
      <c r="B27" s="19" t="n"/>
      <c r="C27" s="19" t="n"/>
      <c r="D27" s="23" t="inlineStr">
        <is>
          <t>testCancelReservation_ResNotFound</t>
        </is>
      </c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24" t="inlineStr">
        <is>
          <t>O</t>
        </is>
      </c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</row>
    <row r="28">
      <c r="A28" s="16" t="n"/>
      <c r="B28" s="19" t="n"/>
      <c r="C28" s="19" t="n"/>
      <c r="D28" s="23" t="inlineStr">
        <is>
          <t>testCancelReservation_NotOwner</t>
        </is>
      </c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24" t="inlineStr">
        <is>
          <t>O</t>
        </is>
      </c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  <row r="29">
      <c r="A29" s="16" t="n"/>
      <c r="B29" s="19" t="n"/>
      <c r="C29" s="19" t="n"/>
      <c r="D29" s="23" t="inlineStr">
        <is>
          <t>testCancelReservation_NotActiveStatus</t>
        </is>
      </c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24" t="inlineStr">
        <is>
          <t>O</t>
        </is>
      </c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</row>
    <row r="30">
      <c r="A30" s="16" t="n"/>
      <c r="B30" s="19" t="n"/>
      <c r="C30" s="19" t="n"/>
      <c r="D30" s="23" t="inlineStr">
        <is>
          <t>testCancelReservation_Success_PendingQue</t>
        </is>
      </c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24" t="inlineStr">
        <is>
          <t>O</t>
        </is>
      </c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</row>
    <row r="31">
      <c r="A31" s="16" t="n"/>
      <c r="B31" s="19" t="n"/>
      <c r="C31" s="19" t="n"/>
      <c r="D31" s="23" t="inlineStr">
        <is>
          <t>testCancelReservation_Success_ReadyPicku</t>
        </is>
      </c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24" t="inlineStr">
        <is>
          <t>O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</row>
    <row r="32">
      <c r="A32" s="16" t="n"/>
      <c r="B32" s="19" t="n"/>
      <c r="C32" s="19" t="n"/>
      <c r="D32" s="23" t="inlineStr">
        <is>
          <t>testCancelReservation_Success_ReadyPicku</t>
        </is>
      </c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24" t="inlineStr">
        <is>
          <t>O</t>
        </is>
      </c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</row>
    <row r="33">
      <c r="A33" s="16" t="n"/>
      <c r="B33" s="19" t="n"/>
      <c r="C33" s="19" t="n"/>
      <c r="D33" s="23" t="inlineStr">
        <is>
          <t>testRenewBook_UserNotFound</t>
        </is>
      </c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24" t="inlineStr">
        <is>
          <t>O</t>
        </is>
      </c>
      <c r="Y33" s="4" t="n"/>
      <c r="Z33" s="4" t="n"/>
      <c r="AA33" s="4" t="n"/>
      <c r="AB33" s="4" t="n"/>
      <c r="AC33" s="4" t="n"/>
      <c r="AD33" s="4" t="n"/>
      <c r="AE33" s="4" t="n"/>
      <c r="AF33" s="4" t="n"/>
    </row>
    <row r="34">
      <c r="A34" s="16" t="n"/>
      <c r="B34" s="19" t="n"/>
      <c r="C34" s="19" t="n"/>
      <c r="D34" s="23" t="inlineStr">
        <is>
          <t>testRenewBook_UserNotActive</t>
        </is>
      </c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24" t="inlineStr">
        <is>
          <t>O</t>
        </is>
      </c>
      <c r="Z34" s="4" t="n"/>
      <c r="AA34" s="4" t="n"/>
      <c r="AB34" s="4" t="n"/>
      <c r="AC34" s="4" t="n"/>
      <c r="AD34" s="4" t="n"/>
      <c r="AE34" s="4" t="n"/>
      <c r="AF34" s="4" t="n"/>
    </row>
    <row r="35">
      <c r="A35" s="16" t="n"/>
      <c r="B35" s="19" t="n"/>
      <c r="C35" s="19" t="n"/>
      <c r="D35" s="23" t="inlineStr">
        <is>
          <t>testRenewBook_RecordNotFound</t>
        </is>
      </c>
      <c r="E35" s="2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4" t="inlineStr">
        <is>
          <t>O</t>
        </is>
      </c>
      <c r="AA35" s="4" t="n"/>
      <c r="AB35" s="4" t="n"/>
      <c r="AC35" s="4" t="n"/>
      <c r="AD35" s="4" t="n"/>
      <c r="AE35" s="4" t="n"/>
      <c r="AF35" s="4" t="n"/>
    </row>
    <row r="36">
      <c r="A36" s="16" t="n"/>
      <c r="B36" s="19" t="n"/>
      <c r="C36" s="19" t="n"/>
      <c r="D36" s="23" t="inlineStr">
        <is>
          <t>testRenewBook_NotOwner</t>
        </is>
      </c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24" t="inlineStr">
        <is>
          <t>O</t>
        </is>
      </c>
      <c r="AB36" s="4" t="n"/>
      <c r="AC36" s="4" t="n"/>
      <c r="AD36" s="4" t="n"/>
      <c r="AE36" s="4" t="n"/>
      <c r="AF36" s="4" t="n"/>
    </row>
    <row r="37">
      <c r="A37" s="16" t="n"/>
      <c r="B37" s="19" t="n"/>
      <c r="C37" s="19" t="n"/>
      <c r="D37" s="23" t="inlineStr">
        <is>
          <t>testRenewBook_NotBorrowed</t>
        </is>
      </c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24" t="inlineStr">
        <is>
          <t>O</t>
        </is>
      </c>
      <c r="AC37" s="4" t="n"/>
      <c r="AD37" s="4" t="n"/>
      <c r="AE37" s="4" t="n"/>
      <c r="AF37" s="4" t="n"/>
    </row>
    <row r="38">
      <c r="A38" s="16" t="n"/>
      <c r="B38" s="19" t="n"/>
      <c r="C38" s="19" t="n"/>
      <c r="D38" s="23" t="inlineStr">
        <is>
          <t>testRenewBook_ThresholdNotMet</t>
        </is>
      </c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24" t="inlineStr">
        <is>
          <t>O</t>
        </is>
      </c>
      <c r="AD38" s="4" t="n"/>
      <c r="AE38" s="4" t="n"/>
      <c r="AF38" s="4" t="n"/>
    </row>
    <row r="39">
      <c r="A39" s="16" t="n"/>
      <c r="B39" s="19" t="n"/>
      <c r="C39" s="19" t="n"/>
      <c r="D39" s="23" t="inlineStr">
        <is>
          <t>testRenewBook_MaxExtensionExceeded</t>
        </is>
      </c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24" t="inlineStr">
        <is>
          <t>O</t>
        </is>
      </c>
      <c r="AE39" s="4" t="n"/>
      <c r="AF39" s="4" t="n"/>
    </row>
    <row r="40">
      <c r="A40" s="16" t="n"/>
      <c r="B40" s="19" t="n"/>
      <c r="C40" s="19" t="n"/>
      <c r="D40" s="23" t="inlineStr">
        <is>
          <t>testRenewBook_HasQueuedReservation</t>
        </is>
      </c>
      <c r="E40" s="2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24" t="inlineStr">
        <is>
          <t>O</t>
        </is>
      </c>
      <c r="AF40" s="4" t="n"/>
    </row>
    <row r="41">
      <c r="A41" s="16" t="n"/>
      <c r="B41" s="19" t="n"/>
      <c r="C41" s="19" t="n"/>
      <c r="D41" s="23" t="inlineStr">
        <is>
          <t>testRenewBook_Success</t>
        </is>
      </c>
      <c r="E41" s="2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24" t="inlineStr">
        <is>
          <t>O</t>
        </is>
      </c>
    </row>
    <row r="42">
      <c r="A42" s="16" t="n"/>
      <c r="B42" s="19" t="n"/>
      <c r="C42" s="19" t="n"/>
      <c r="D42" s="19" t="n"/>
      <c r="E42" s="2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</row>
    <row r="44">
      <c r="A44" s="15" t="inlineStr">
        <is>
          <t>Confirm</t>
        </is>
      </c>
      <c r="B44" s="18" t="inlineStr">
        <is>
          <t>Return</t>
        </is>
      </c>
      <c r="C44" s="19" t="n"/>
      <c r="D44" s="19" t="n"/>
      <c r="E44" s="2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</row>
    <row r="45">
      <c r="A45" s="16" t="n"/>
      <c r="B45" s="19" t="n"/>
      <c r="C45" s="19" t="n"/>
      <c r="D45" s="23" t="inlineStr">
        <is>
          <t>Assertion verified</t>
        </is>
      </c>
      <c r="E45" s="22" t="n"/>
      <c r="F45" s="24" t="inlineStr">
        <is>
          <t>O</t>
        </is>
      </c>
      <c r="G45" s="24" t="inlineStr">
        <is>
          <t>O</t>
        </is>
      </c>
      <c r="H45" s="24" t="inlineStr">
        <is>
          <t>O</t>
        </is>
      </c>
      <c r="I45" s="24" t="inlineStr">
        <is>
          <t>O</t>
        </is>
      </c>
      <c r="J45" s="24" t="inlineStr">
        <is>
          <t>O</t>
        </is>
      </c>
      <c r="K45" s="24" t="inlineStr">
        <is>
          <t>O</t>
        </is>
      </c>
      <c r="L45" s="24" t="inlineStr">
        <is>
          <t>O</t>
        </is>
      </c>
      <c r="M45" s="24" t="inlineStr">
        <is>
          <t>O</t>
        </is>
      </c>
      <c r="N45" s="24" t="inlineStr">
        <is>
          <t>O</t>
        </is>
      </c>
      <c r="O45" s="24" t="inlineStr">
        <is>
          <t>O</t>
        </is>
      </c>
      <c r="P45" s="24" t="inlineStr">
        <is>
          <t>O</t>
        </is>
      </c>
      <c r="Q45" s="24" t="inlineStr">
        <is>
          <t>O</t>
        </is>
      </c>
      <c r="R45" s="24" t="inlineStr">
        <is>
          <t>O</t>
        </is>
      </c>
      <c r="S45" s="24" t="inlineStr">
        <is>
          <t>O</t>
        </is>
      </c>
      <c r="T45" s="24" t="inlineStr">
        <is>
          <t>O</t>
        </is>
      </c>
      <c r="U45" s="24" t="inlineStr">
        <is>
          <t>O</t>
        </is>
      </c>
      <c r="V45" s="24" t="inlineStr">
        <is>
          <t>O</t>
        </is>
      </c>
      <c r="W45" s="24" t="inlineStr">
        <is>
          <t>O</t>
        </is>
      </c>
      <c r="X45" s="24" t="inlineStr">
        <is>
          <t>O</t>
        </is>
      </c>
      <c r="Y45" s="24" t="inlineStr">
        <is>
          <t>O</t>
        </is>
      </c>
      <c r="Z45" s="24" t="inlineStr">
        <is>
          <t>O</t>
        </is>
      </c>
      <c r="AA45" s="24" t="inlineStr">
        <is>
          <t>O</t>
        </is>
      </c>
      <c r="AB45" s="24" t="inlineStr">
        <is>
          <t>O</t>
        </is>
      </c>
      <c r="AC45" s="24" t="inlineStr">
        <is>
          <t>O</t>
        </is>
      </c>
      <c r="AD45" s="24" t="inlineStr">
        <is>
          <t>O</t>
        </is>
      </c>
      <c r="AE45" s="24" t="inlineStr">
        <is>
          <t>O</t>
        </is>
      </c>
      <c r="AF45" s="24" t="inlineStr">
        <is>
          <t>O</t>
        </is>
      </c>
    </row>
    <row r="46">
      <c r="A46" s="16" t="n"/>
      <c r="B46" s="19" t="n"/>
      <c r="C46" s="19" t="n"/>
      <c r="D46" s="19" t="n"/>
      <c r="E46" s="2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</row>
    <row r="47">
      <c r="A47" s="16" t="n"/>
      <c r="B47" s="18" t="inlineStr">
        <is>
          <t>Exception</t>
        </is>
      </c>
      <c r="C47" s="19" t="n"/>
      <c r="D47" s="19" t="n"/>
      <c r="E47" s="22" t="n"/>
      <c r="F47" s="24" t="inlineStr">
        <is>
          <t>O</t>
        </is>
      </c>
      <c r="G47" s="24" t="inlineStr">
        <is>
          <t>O</t>
        </is>
      </c>
      <c r="H47" s="4" t="n"/>
      <c r="I47" s="4" t="n"/>
      <c r="J47" s="4" t="n"/>
      <c r="K47" s="4" t="n"/>
      <c r="L47" s="24" t="inlineStr">
        <is>
          <t>O</t>
        </is>
      </c>
      <c r="M47" s="4" t="n"/>
      <c r="N47" s="4" t="n"/>
      <c r="O47" s="4" t="n"/>
      <c r="P47" s="24" t="inlineStr">
        <is>
          <t>O</t>
        </is>
      </c>
      <c r="Q47" s="24" t="inlineStr">
        <is>
          <t>O</t>
        </is>
      </c>
      <c r="R47" s="24" t="inlineStr">
        <is>
          <t>O</t>
        </is>
      </c>
      <c r="S47" s="24" t="inlineStr">
        <is>
          <t>O</t>
        </is>
      </c>
      <c r="T47" s="24" t="inlineStr">
        <is>
          <t>O</t>
        </is>
      </c>
      <c r="U47" s="4" t="n"/>
      <c r="V47" s="4" t="n"/>
      <c r="W47" s="4" t="n"/>
      <c r="X47" s="24" t="inlineStr">
        <is>
          <t>O</t>
        </is>
      </c>
      <c r="Y47" s="24" t="inlineStr">
        <is>
          <t>O</t>
        </is>
      </c>
      <c r="Z47" s="24" t="inlineStr">
        <is>
          <t>O</t>
        </is>
      </c>
      <c r="AA47" s="24" t="inlineStr">
        <is>
          <t>O</t>
        </is>
      </c>
      <c r="AB47" s="24" t="inlineStr">
        <is>
          <t>O</t>
        </is>
      </c>
      <c r="AC47" s="4" t="n"/>
      <c r="AD47" s="4" t="n"/>
      <c r="AE47" s="4" t="n"/>
      <c r="AF47" s="4" t="n"/>
    </row>
    <row r="48">
      <c r="A48" s="16" t="n"/>
      <c r="B48" s="19" t="n"/>
      <c r="C48" s="19" t="n"/>
      <c r="D48" s="19" t="n"/>
      <c r="E48" s="22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</row>
    <row r="49">
      <c r="A49" s="16" t="n"/>
      <c r="B49" s="18" t="inlineStr">
        <is>
          <t>Log message</t>
        </is>
      </c>
      <c r="C49" s="19" t="n"/>
      <c r="D49" s="19" t="n"/>
      <c r="E49" s="2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</row>
    <row r="50">
      <c r="A50" s="16" t="n"/>
      <c r="B50" s="19" t="n"/>
      <c r="C50" s="19" t="n"/>
      <c r="D50" s="19" t="n"/>
      <c r="E50" s="22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</row>
    <row r="51">
      <c r="A51" s="16" t="n"/>
      <c r="B51" s="19" t="n"/>
      <c r="C51" s="19" t="n"/>
      <c r="D51" s="19" t="n"/>
      <c r="E51" s="22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</row>
    <row r="52">
      <c r="A52" s="15" t="inlineStr">
        <is>
          <t>Result</t>
        </is>
      </c>
      <c r="B52" s="17" t="inlineStr">
        <is>
          <t>Type(N : Normal, A : Abnormal, B : Boundary)</t>
        </is>
      </c>
      <c r="C52" s="4" t="n"/>
      <c r="D52" s="4" t="n"/>
      <c r="E52" s="4" t="n"/>
      <c r="F52" s="25" t="inlineStr">
        <is>
          <t>A</t>
        </is>
      </c>
      <c r="G52" s="25" t="inlineStr">
        <is>
          <t>A</t>
        </is>
      </c>
      <c r="H52" s="25" t="inlineStr">
        <is>
          <t>N</t>
        </is>
      </c>
      <c r="I52" s="25" t="inlineStr">
        <is>
          <t>N</t>
        </is>
      </c>
      <c r="J52" s="25" t="inlineStr">
        <is>
          <t>B</t>
        </is>
      </c>
      <c r="K52" s="25" t="inlineStr">
        <is>
          <t>B</t>
        </is>
      </c>
      <c r="L52" s="25" t="inlineStr">
        <is>
          <t>A</t>
        </is>
      </c>
      <c r="M52" s="25" t="inlineStr">
        <is>
          <t>N</t>
        </is>
      </c>
      <c r="N52" s="25" t="inlineStr">
        <is>
          <t>N</t>
        </is>
      </c>
      <c r="O52" s="25" t="inlineStr">
        <is>
          <t>N</t>
        </is>
      </c>
      <c r="P52" s="25" t="inlineStr">
        <is>
          <t>A</t>
        </is>
      </c>
      <c r="Q52" s="25" t="inlineStr">
        <is>
          <t>A</t>
        </is>
      </c>
      <c r="R52" s="25" t="inlineStr">
        <is>
          <t>A</t>
        </is>
      </c>
      <c r="S52" s="25" t="inlineStr">
        <is>
          <t>A</t>
        </is>
      </c>
      <c r="T52" s="25" t="inlineStr">
        <is>
          <t>A</t>
        </is>
      </c>
      <c r="U52" s="25" t="inlineStr">
        <is>
          <t>N</t>
        </is>
      </c>
      <c r="V52" s="25" t="inlineStr">
        <is>
          <t>N</t>
        </is>
      </c>
      <c r="W52" s="25" t="inlineStr">
        <is>
          <t>N</t>
        </is>
      </c>
      <c r="X52" s="25" t="inlineStr">
        <is>
          <t>A</t>
        </is>
      </c>
      <c r="Y52" s="25" t="inlineStr">
        <is>
          <t>A</t>
        </is>
      </c>
      <c r="Z52" s="25" t="inlineStr">
        <is>
          <t>A</t>
        </is>
      </c>
      <c r="AA52" s="25" t="inlineStr">
        <is>
          <t>A</t>
        </is>
      </c>
      <c r="AB52" s="25" t="inlineStr">
        <is>
          <t>A</t>
        </is>
      </c>
      <c r="AC52" s="25" t="inlineStr">
        <is>
          <t>B</t>
        </is>
      </c>
      <c r="AD52" s="25" t="inlineStr">
        <is>
          <t>B</t>
        </is>
      </c>
      <c r="AE52" s="25" t="inlineStr">
        <is>
          <t>N</t>
        </is>
      </c>
      <c r="AF52" s="25" t="inlineStr">
        <is>
          <t>N</t>
        </is>
      </c>
    </row>
    <row r="53">
      <c r="A53" s="16" t="n"/>
      <c r="B53" s="17" t="inlineStr">
        <is>
          <t>Passed/Failed</t>
        </is>
      </c>
      <c r="C53" s="4" t="n"/>
      <c r="D53" s="4" t="n"/>
      <c r="E53" s="4" t="n"/>
      <c r="F53" s="25" t="inlineStr">
        <is>
          <t>P</t>
        </is>
      </c>
      <c r="G53" s="25" t="inlineStr">
        <is>
          <t>P</t>
        </is>
      </c>
      <c r="H53" s="25" t="inlineStr">
        <is>
          <t>P</t>
        </is>
      </c>
      <c r="I53" s="25" t="inlineStr">
        <is>
          <t>P</t>
        </is>
      </c>
      <c r="J53" s="25" t="inlineStr">
        <is>
          <t>P</t>
        </is>
      </c>
      <c r="K53" s="25" t="inlineStr">
        <is>
          <t>P</t>
        </is>
      </c>
      <c r="L53" s="25" t="inlineStr">
        <is>
          <t>P</t>
        </is>
      </c>
      <c r="M53" s="25" t="inlineStr">
        <is>
          <t>P</t>
        </is>
      </c>
      <c r="N53" s="25" t="inlineStr">
        <is>
          <t>P</t>
        </is>
      </c>
      <c r="O53" s="25" t="inlineStr">
        <is>
          <t>P</t>
        </is>
      </c>
      <c r="P53" s="25" t="inlineStr">
        <is>
          <t>P</t>
        </is>
      </c>
      <c r="Q53" s="25" t="inlineStr">
        <is>
          <t>P</t>
        </is>
      </c>
      <c r="R53" s="25" t="inlineStr">
        <is>
          <t>P</t>
        </is>
      </c>
      <c r="S53" s="25" t="inlineStr">
        <is>
          <t>P</t>
        </is>
      </c>
      <c r="T53" s="25" t="inlineStr">
        <is>
          <t>P</t>
        </is>
      </c>
      <c r="U53" s="25" t="inlineStr">
        <is>
          <t>P</t>
        </is>
      </c>
      <c r="V53" s="25" t="inlineStr">
        <is>
          <t>P</t>
        </is>
      </c>
      <c r="W53" s="25" t="inlineStr">
        <is>
          <t>P</t>
        </is>
      </c>
      <c r="X53" s="25" t="inlineStr">
        <is>
          <t>P</t>
        </is>
      </c>
      <c r="Y53" s="25" t="inlineStr">
        <is>
          <t>P</t>
        </is>
      </c>
      <c r="Z53" s="25" t="inlineStr">
        <is>
          <t>P</t>
        </is>
      </c>
      <c r="AA53" s="25" t="inlineStr">
        <is>
          <t>P</t>
        </is>
      </c>
      <c r="AB53" s="25" t="inlineStr">
        <is>
          <t>P</t>
        </is>
      </c>
      <c r="AC53" s="25" t="inlineStr">
        <is>
          <t>P</t>
        </is>
      </c>
      <c r="AD53" s="25" t="inlineStr">
        <is>
          <t>P</t>
        </is>
      </c>
      <c r="AE53" s="25" t="inlineStr">
        <is>
          <t>P</t>
        </is>
      </c>
      <c r="AF53" s="25" t="inlineStr">
        <is>
          <t>P</t>
        </is>
      </c>
    </row>
    <row r="54">
      <c r="A54" s="16" t="n"/>
      <c r="B54" s="17" t="inlineStr">
        <is>
          <t>Executed Date</t>
        </is>
      </c>
      <c r="C54" s="4" t="n"/>
      <c r="D54" s="4" t="n"/>
      <c r="E54" s="4" t="n"/>
      <c r="F54" s="26" t="n">
        <v>46215</v>
      </c>
      <c r="G54" s="26" t="n">
        <v>46215</v>
      </c>
      <c r="H54" s="26" t="n">
        <v>46215</v>
      </c>
      <c r="I54" s="26" t="n">
        <v>46215</v>
      </c>
      <c r="J54" s="26" t="n">
        <v>46215</v>
      </c>
      <c r="K54" s="26" t="n">
        <v>46215</v>
      </c>
      <c r="L54" s="26" t="n">
        <v>46215</v>
      </c>
      <c r="M54" s="26" t="n">
        <v>46215</v>
      </c>
      <c r="N54" s="26" t="n">
        <v>46215</v>
      </c>
      <c r="O54" s="26" t="n">
        <v>46215</v>
      </c>
      <c r="P54" s="26" t="n">
        <v>46215</v>
      </c>
      <c r="Q54" s="26" t="n">
        <v>46215</v>
      </c>
      <c r="R54" s="26" t="n">
        <v>46215</v>
      </c>
      <c r="S54" s="26" t="n">
        <v>46215</v>
      </c>
      <c r="T54" s="26" t="n">
        <v>46215</v>
      </c>
      <c r="U54" s="26" t="n">
        <v>46215</v>
      </c>
      <c r="V54" s="26" t="n">
        <v>46215</v>
      </c>
      <c r="W54" s="26" t="n">
        <v>46215</v>
      </c>
      <c r="X54" s="26" t="n">
        <v>46215</v>
      </c>
      <c r="Y54" s="26" t="n">
        <v>46215</v>
      </c>
      <c r="Z54" s="26" t="n">
        <v>46215</v>
      </c>
      <c r="AA54" s="26" t="n">
        <v>46215</v>
      </c>
      <c r="AB54" s="26" t="n">
        <v>46215</v>
      </c>
      <c r="AC54" s="26" t="n">
        <v>46215</v>
      </c>
      <c r="AD54" s="26" t="n">
        <v>46215</v>
      </c>
      <c r="AE54" s="26" t="n">
        <v>46215</v>
      </c>
      <c r="AF54" s="26" t="n">
        <v>46215</v>
      </c>
    </row>
    <row r="55">
      <c r="A55" s="16" t="n"/>
      <c r="B55" s="17" t="inlineStr">
        <is>
          <t>Defect ID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</row>
  </sheetData>
  <mergeCells count="27">
    <mergeCell ref="B55:E55"/>
    <mergeCell ref="F2:K2"/>
    <mergeCell ref="A6:B6"/>
    <mergeCell ref="C4:D4"/>
    <mergeCell ref="C2:E2"/>
    <mergeCell ref="A7:B7"/>
    <mergeCell ref="L4:AF4"/>
    <mergeCell ref="B54:E54"/>
    <mergeCell ref="C7:E7"/>
    <mergeCell ref="L6:N6"/>
    <mergeCell ref="A3:B3"/>
    <mergeCell ref="A2:B2"/>
    <mergeCell ref="B52:E52"/>
    <mergeCell ref="A5:B5"/>
    <mergeCell ref="C3:E3"/>
    <mergeCell ref="F4:K4"/>
    <mergeCell ref="C6:E6"/>
    <mergeCell ref="A4:B4"/>
    <mergeCell ref="O7:AF7"/>
    <mergeCell ref="L2:AF2"/>
    <mergeCell ref="B53:E53"/>
    <mergeCell ref="F6:K6"/>
    <mergeCell ref="O6:AF6"/>
    <mergeCell ref="F7:K7"/>
    <mergeCell ref="C5:AF5"/>
    <mergeCell ref="L3:N3"/>
    <mergeCell ref="F3:K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</cols>
  <sheetData>
    <row r="2">
      <c r="A2" s="15" t="inlineStr">
        <is>
          <t>Function Code</t>
        </is>
      </c>
      <c r="B2" s="16" t="n"/>
      <c r="C2" s="17" t="inlineStr">
        <is>
          <t>OverdueProcessorTest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OverdueProcessor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226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20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OverdueProcessor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COUNTIF(F34:G34,"P")</f>
        <v/>
      </c>
      <c r="B7" s="4" t="n"/>
      <c r="C7" s="20">
        <f>COUNTIF(F34:G34,"F")</f>
        <v/>
      </c>
      <c r="D7" s="4" t="n"/>
      <c r="E7" s="4" t="n"/>
      <c r="F7" s="20">
        <f>2-A7-C7</f>
        <v/>
      </c>
      <c r="G7" s="4" t="n"/>
      <c r="H7" s="4" t="n"/>
      <c r="I7" s="4" t="n"/>
      <c r="J7" s="4" t="n"/>
      <c r="K7" s="4" t="n"/>
      <c r="L7" s="17">
        <f>COUNTIF(F33:G33,"N")</f>
        <v/>
      </c>
      <c r="M7" s="17">
        <f>COUNTIF(F33:G33,"A")</f>
        <v/>
      </c>
      <c r="N7" s="17">
        <f>COUNTIF(F33:G33,"B")</f>
        <v/>
      </c>
      <c r="O7" s="20" t="n">
        <v>2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testProcessNoOverdueRecords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testProcessOneOverdueRecord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24" t="inlineStr">
        <is>
          <t>O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A</t>
        </is>
      </c>
      <c r="G33" s="25" t="inlineStr">
        <is>
          <t>N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2">
      <c r="A2" s="15" t="inlineStr">
        <is>
          <t>Function Code</t>
        </is>
      </c>
      <c r="B2" s="16" t="n"/>
      <c r="C2" s="17" t="inlineStr">
        <is>
          <t>ProfileServiceTest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ProfileService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103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3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ProfileService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COUNTIF(F34:L34,"P")</f>
        <v/>
      </c>
      <c r="B7" s="4" t="n"/>
      <c r="C7" s="20">
        <f>COUNTIF(F34:L34,"F")</f>
        <v/>
      </c>
      <c r="D7" s="4" t="n"/>
      <c r="E7" s="4" t="n"/>
      <c r="F7" s="20">
        <f>7-A7-C7</f>
        <v/>
      </c>
      <c r="G7" s="4" t="n"/>
      <c r="H7" s="4" t="n"/>
      <c r="I7" s="4" t="n"/>
      <c r="J7" s="4" t="n"/>
      <c r="K7" s="4" t="n"/>
      <c r="L7" s="17">
        <f>COUNTIF(F33:L33,"N")</f>
        <v/>
      </c>
      <c r="M7" s="17">
        <f>COUNTIF(F33:L33,"A")</f>
        <v/>
      </c>
      <c r="N7" s="17">
        <f>COUNTIF(F33:L33,"B")</f>
        <v/>
      </c>
      <c r="O7" s="20" t="n">
        <v>7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testUpdateUserInfo_Success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testUpdateUserInfo_Fail_EmptyFullName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testUpdateUserInfo_Fail_InvalidDate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testChangePassword_Success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23" t="inlineStr">
        <is>
          <t>testChangePassword_Fail_MismatchConfirm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23" t="inlineStr">
        <is>
          <t>testChangePassword_Fail_WeakPolicy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23" t="inlineStr">
        <is>
          <t>testChangePassword_Fail_WrongOldPassword</t>
        </is>
      </c>
      <c r="E21" s="22" t="n"/>
      <c r="F21" s="4" t="n"/>
      <c r="G21" s="4" t="n"/>
      <c r="H21" s="4" t="n"/>
      <c r="I21" s="4" t="n"/>
      <c r="J21" s="4" t="n"/>
      <c r="K21" s="4" t="n"/>
      <c r="L21" s="24" t="inlineStr">
        <is>
          <t>O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24" t="inlineStr">
        <is>
          <t>O</t>
        </is>
      </c>
      <c r="K26" s="24" t="inlineStr">
        <is>
          <t>O</t>
        </is>
      </c>
      <c r="L26" s="24" t="inlineStr">
        <is>
          <t>O</t>
        </is>
      </c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24" t="inlineStr">
        <is>
          <t>O</t>
        </is>
      </c>
      <c r="I28" s="4" t="n"/>
      <c r="J28" s="24" t="inlineStr">
        <is>
          <t>O</t>
        </is>
      </c>
      <c r="K28" s="24" t="inlineStr">
        <is>
          <t>O</t>
        </is>
      </c>
      <c r="L28" s="24" t="inlineStr">
        <is>
          <t>O</t>
        </is>
      </c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A</t>
        </is>
      </c>
      <c r="I33" s="25" t="inlineStr">
        <is>
          <t>N</t>
        </is>
      </c>
      <c r="J33" s="25" t="inlineStr">
        <is>
          <t>A</t>
        </is>
      </c>
      <c r="K33" s="25" t="inlineStr">
        <is>
          <t>A</t>
        </is>
      </c>
      <c r="L33" s="25" t="inlineStr">
        <is>
          <t>A</t>
        </is>
      </c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25" t="inlineStr">
        <is>
          <t>P</t>
        </is>
      </c>
      <c r="K34" s="25" t="inlineStr">
        <is>
          <t>P</t>
        </is>
      </c>
      <c r="L34" s="25" t="inlineStr">
        <is>
          <t>P</t>
        </is>
      </c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26" t="n">
        <v>46215</v>
      </c>
      <c r="K35" s="26" t="n">
        <v>46215</v>
      </c>
      <c r="L35" s="26" t="n">
        <v>46215</v>
      </c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</cols>
  <sheetData>
    <row r="2">
      <c r="A2" s="15" t="inlineStr">
        <is>
          <t>Function Code</t>
        </is>
      </c>
      <c r="B2" s="16" t="n"/>
      <c r="C2" s="17" t="inlineStr">
        <is>
          <t>ReservationExpirationProcessorT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ReservationExpirationProcessor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233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20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ReservationExpirationProcessor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COUNTIF(F34:H34,"P")</f>
        <v/>
      </c>
      <c r="B7" s="4" t="n"/>
      <c r="C7" s="20">
        <f>COUNTIF(F34:H34,"F")</f>
        <v/>
      </c>
      <c r="D7" s="4" t="n"/>
      <c r="E7" s="4" t="n"/>
      <c r="F7" s="20">
        <f>3-A7-C7</f>
        <v/>
      </c>
      <c r="G7" s="4" t="n"/>
      <c r="H7" s="4" t="n"/>
      <c r="I7" s="4" t="n"/>
      <c r="J7" s="4" t="n"/>
      <c r="K7" s="4" t="n"/>
      <c r="L7" s="17">
        <f>COUNTIF(F33:H33,"N")</f>
        <v/>
      </c>
      <c r="M7" s="17">
        <f>COUNTIF(F33:H33,"A")</f>
        <v/>
      </c>
      <c r="N7" s="17">
        <f>COUNTIF(F33:H33,"B")</f>
        <v/>
      </c>
      <c r="O7" s="20" t="n">
        <v>3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testProcessNoExpiredReservations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testProcessExpiredWithPromotedNextUser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testProcessExpiredQueueEmpty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24" t="inlineStr">
        <is>
          <t>O</t>
        </is>
      </c>
      <c r="G28" s="24" t="inlineStr">
        <is>
          <t>O</t>
        </is>
      </c>
      <c r="H28" s="24" t="inlineStr">
        <is>
          <t>O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A</t>
        </is>
      </c>
      <c r="G33" s="25" t="inlineStr">
        <is>
          <t>A</t>
        </is>
      </c>
      <c r="H33" s="25" t="inlineStr">
        <is>
          <t>A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</cols>
  <sheetData>
    <row r="2">
      <c r="A2" s="15" t="inlineStr">
        <is>
          <t>Function Code</t>
        </is>
      </c>
      <c r="B2" s="16" t="n"/>
      <c r="C2" s="17" t="inlineStr">
        <is>
          <t>TagServiceTest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TagService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138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11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TagService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COUNTIF(F34:G34,"P")</f>
        <v/>
      </c>
      <c r="B7" s="4" t="n"/>
      <c r="C7" s="20">
        <f>COUNTIF(F34:G34,"F")</f>
        <v/>
      </c>
      <c r="D7" s="4" t="n"/>
      <c r="E7" s="4" t="n"/>
      <c r="F7" s="20">
        <f>2-A7-C7</f>
        <v/>
      </c>
      <c r="G7" s="4" t="n"/>
      <c r="H7" s="4" t="n"/>
      <c r="I7" s="4" t="n"/>
      <c r="J7" s="4" t="n"/>
      <c r="K7" s="4" t="n"/>
      <c r="L7" s="17">
        <f>COUNTIF(F33:G33,"N")</f>
        <v/>
      </c>
      <c r="M7" s="17">
        <f>COUNTIF(F33:G33,"A")</f>
        <v/>
      </c>
      <c r="N7" s="17">
        <f>COUNTIF(F33:G33,"B")</f>
        <v/>
      </c>
      <c r="O7" s="20" t="n">
        <v>2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validateAcceptsValidTag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validateRejectsInvalidStatus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19" t="n"/>
      <c r="E17" s="22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T4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2">
      <c r="A2" s="15" t="inlineStr">
        <is>
          <t>Function Code</t>
        </is>
      </c>
      <c r="B2" s="16" t="n"/>
      <c r="C2" s="17" t="inlineStr">
        <is>
          <t>UserServiceTest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UserService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353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20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UserService (service)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COUNTIF(F41:T41,"P")</f>
        <v/>
      </c>
      <c r="B7" s="4" t="n"/>
      <c r="C7" s="20">
        <f>COUNTIF(F41:T41,"F")</f>
        <v/>
      </c>
      <c r="D7" s="4" t="n"/>
      <c r="E7" s="4" t="n"/>
      <c r="F7" s="20">
        <f>15-A7-C7</f>
        <v/>
      </c>
      <c r="G7" s="4" t="n"/>
      <c r="H7" s="4" t="n"/>
      <c r="I7" s="4" t="n"/>
      <c r="J7" s="4" t="n"/>
      <c r="K7" s="4" t="n"/>
      <c r="L7" s="17">
        <f>COUNTIF(F40:T40,"N")</f>
        <v/>
      </c>
      <c r="M7" s="17">
        <f>COUNTIF(F40:T40,"A")</f>
        <v/>
      </c>
      <c r="N7" s="17">
        <f>COUNTIF(F40:T40,"B")</f>
        <v/>
      </c>
      <c r="O7" s="20" t="n">
        <v>15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  <c r="O8" s="21" t="inlineStr">
        <is>
          <t>TC010</t>
        </is>
      </c>
      <c r="P8" s="21" t="inlineStr">
        <is>
          <t>TC011</t>
        </is>
      </c>
      <c r="Q8" s="21" t="inlineStr">
        <is>
          <t>TC012</t>
        </is>
      </c>
      <c r="R8" s="21" t="inlineStr">
        <is>
          <t>TC013</t>
        </is>
      </c>
      <c r="S8" s="21" t="inlineStr">
        <is>
          <t>TC014</t>
        </is>
      </c>
      <c r="T8" s="21" t="inlineStr">
        <is>
          <t>TC015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24" t="inlineStr">
        <is>
          <t>O</t>
        </is>
      </c>
      <c r="P11" s="24" t="inlineStr">
        <is>
          <t>O</t>
        </is>
      </c>
      <c r="Q11" s="24" t="inlineStr">
        <is>
          <t>O</t>
        </is>
      </c>
      <c r="R11" s="24" t="inlineStr">
        <is>
          <t>O</t>
        </is>
      </c>
      <c r="S11" s="24" t="inlineStr">
        <is>
          <t>O</t>
        </is>
      </c>
      <c r="T11" s="24" t="inlineStr">
        <is>
          <t>O</t>
        </is>
      </c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UserServiceTest — Unit Tests cho UserSer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 tạo tài khoản thất bại khi thiếu em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 tạo tài khoản thất bại khi trùng Em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Test tạo tài khoản thất bại khi trùng mã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23" t="inlineStr">
        <is>
          <t>Test tạo tài khoản thất bại khi thiếu số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23" t="inlineStr">
        <is>
          <t xml:space="preserve">Test tạo tài khoản thất bại khi số điện 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23" t="inlineStr">
        <is>
          <t>Test khóa tài khoản người dùng thành côn</t>
        </is>
      </c>
      <c r="E21" s="22" t="n"/>
      <c r="F21" s="4" t="n"/>
      <c r="G21" s="4" t="n"/>
      <c r="H21" s="4" t="n"/>
      <c r="I21" s="4" t="n"/>
      <c r="J21" s="4" t="n"/>
      <c r="K21" s="4" t="n"/>
      <c r="L21" s="24" t="inlineStr">
        <is>
          <t>O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23" t="inlineStr">
        <is>
          <t xml:space="preserve">Test mở khóa tài khoản người dùng thành </t>
        </is>
      </c>
      <c r="E22" s="22" t="n"/>
      <c r="F22" s="4" t="n"/>
      <c r="G22" s="4" t="n"/>
      <c r="H22" s="4" t="n"/>
      <c r="I22" s="4" t="n"/>
      <c r="J22" s="4" t="n"/>
      <c r="K22" s="4" t="n"/>
      <c r="L22" s="4" t="n"/>
      <c r="M22" s="24" t="inlineStr">
        <is>
          <t>O</t>
        </is>
      </c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23" t="inlineStr">
        <is>
          <t>Test cập nhật tài khoản Admin bởi một Ad</t>
        </is>
      </c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24" t="inlineStr">
        <is>
          <t>O</t>
        </is>
      </c>
      <c r="O23" s="4" t="n"/>
      <c r="P23" s="4" t="n"/>
      <c r="Q23" s="4" t="n"/>
      <c r="R23" s="4" t="n"/>
      <c r="S23" s="4" t="n"/>
      <c r="T23" s="4" t="n"/>
    </row>
    <row r="24">
      <c r="A24" s="16" t="n"/>
      <c r="B24" s="19" t="n"/>
      <c r="C24" s="19" t="n"/>
      <c r="D24" s="23" t="inlineStr">
        <is>
          <t xml:space="preserve">Test cập nhật tài khoản Admin bởi chính </t>
        </is>
      </c>
      <c r="E24" s="22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4" t="inlineStr">
        <is>
          <t>O</t>
        </is>
      </c>
      <c r="P24" s="4" t="n"/>
      <c r="Q24" s="4" t="n"/>
      <c r="R24" s="4" t="n"/>
      <c r="S24" s="4" t="n"/>
      <c r="T24" s="4" t="n"/>
    </row>
    <row r="25">
      <c r="A25" s="16" t="n"/>
      <c r="B25" s="19" t="n"/>
      <c r="C25" s="19" t="n"/>
      <c r="D25" s="23" t="inlineStr">
        <is>
          <t>Test khóa tài khoản Admin bởi Admin khác</t>
        </is>
      </c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24" t="inlineStr">
        <is>
          <t>O</t>
        </is>
      </c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Test khóa tài khoản Admin bởi chính mình</t>
        </is>
      </c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24" t="inlineStr">
        <is>
          <t>O</t>
        </is>
      </c>
      <c r="R26" s="4" t="n"/>
      <c r="S26" s="4" t="n"/>
      <c r="T26" s="4" t="n"/>
    </row>
    <row r="27">
      <c r="A27" s="16" t="n"/>
      <c r="B27" s="19" t="n"/>
      <c r="C27" s="19" t="n"/>
      <c r="D27" s="23" t="inlineStr">
        <is>
          <t>Test Import hàng loạt thành công.</t>
        </is>
      </c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24" t="inlineStr">
        <is>
          <t>O</t>
        </is>
      </c>
      <c r="S27" s="4" t="n"/>
      <c r="T27" s="4" t="n"/>
    </row>
    <row r="28">
      <c r="A28" s="16" t="n"/>
      <c r="B28" s="19" t="n"/>
      <c r="C28" s="19" t="n"/>
      <c r="D28" s="23" t="inlineStr">
        <is>
          <t>Test Import hàng loạt thất bại ở Phase 1</t>
        </is>
      </c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24" t="inlineStr">
        <is>
          <t>O</t>
        </is>
      </c>
      <c r="T28" s="4" t="n"/>
    </row>
    <row r="29">
      <c r="A29" s="16" t="n"/>
      <c r="B29" s="19" t="n"/>
      <c r="C29" s="19" t="n"/>
      <c r="D29" s="23" t="inlineStr">
        <is>
          <t>Test lấy danh sách người dùng để xuất Ex</t>
        </is>
      </c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24" t="inlineStr">
        <is>
          <t>O</t>
        </is>
      </c>
    </row>
    <row r="30">
      <c r="A30" s="16" t="n"/>
      <c r="B30" s="19" t="n"/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2">
      <c r="A32" s="15" t="inlineStr">
        <is>
          <t>Confirm</t>
        </is>
      </c>
      <c r="B32" s="18" t="inlineStr">
        <is>
          <t>Return</t>
        </is>
      </c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n"/>
      <c r="B33" s="19" t="n"/>
      <c r="C33" s="19" t="n"/>
      <c r="D33" s="23" t="inlineStr">
        <is>
          <t>Assertion verified</t>
        </is>
      </c>
      <c r="E33" s="22" t="n"/>
      <c r="F33" s="24" t="inlineStr">
        <is>
          <t>O</t>
        </is>
      </c>
      <c r="G33" s="24" t="inlineStr">
        <is>
          <t>O</t>
        </is>
      </c>
      <c r="H33" s="24" t="inlineStr">
        <is>
          <t>O</t>
        </is>
      </c>
      <c r="I33" s="24" t="inlineStr">
        <is>
          <t>O</t>
        </is>
      </c>
      <c r="J33" s="24" t="inlineStr">
        <is>
          <t>O</t>
        </is>
      </c>
      <c r="K33" s="24" t="inlineStr">
        <is>
          <t>O</t>
        </is>
      </c>
      <c r="L33" s="24" t="inlineStr">
        <is>
          <t>O</t>
        </is>
      </c>
      <c r="M33" s="24" t="inlineStr">
        <is>
          <t>O</t>
        </is>
      </c>
      <c r="N33" s="24" t="inlineStr">
        <is>
          <t>O</t>
        </is>
      </c>
      <c r="O33" s="24" t="inlineStr">
        <is>
          <t>O</t>
        </is>
      </c>
      <c r="P33" s="24" t="inlineStr">
        <is>
          <t>O</t>
        </is>
      </c>
      <c r="Q33" s="24" t="inlineStr">
        <is>
          <t>O</t>
        </is>
      </c>
      <c r="R33" s="24" t="inlineStr">
        <is>
          <t>O</t>
        </is>
      </c>
      <c r="S33" s="24" t="inlineStr">
        <is>
          <t>O</t>
        </is>
      </c>
      <c r="T33" s="24" t="inlineStr">
        <is>
          <t>O</t>
        </is>
      </c>
    </row>
    <row r="34">
      <c r="A34" s="16" t="n"/>
      <c r="B34" s="19" t="n"/>
      <c r="C34" s="19" t="n"/>
      <c r="D34" s="19" t="n"/>
      <c r="E34" s="2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8" t="inlineStr">
        <is>
          <t>Exception</t>
        </is>
      </c>
      <c r="C35" s="19" t="n"/>
      <c r="D35" s="19" t="n"/>
      <c r="E35" s="22" t="n"/>
      <c r="F35" s="4" t="n"/>
      <c r="G35" s="24" t="inlineStr">
        <is>
          <t>O</t>
        </is>
      </c>
      <c r="H35" s="24" t="inlineStr">
        <is>
          <t>O</t>
        </is>
      </c>
      <c r="I35" s="24" t="inlineStr">
        <is>
          <t>O</t>
        </is>
      </c>
      <c r="J35" s="24" t="inlineStr">
        <is>
          <t>O</t>
        </is>
      </c>
      <c r="K35" s="24" t="inlineStr">
        <is>
          <t>O</t>
        </is>
      </c>
      <c r="L35" s="24" t="inlineStr">
        <is>
          <t>O</t>
        </is>
      </c>
      <c r="M35" s="24" t="inlineStr">
        <is>
          <t>O</t>
        </is>
      </c>
      <c r="N35" s="24" t="inlineStr">
        <is>
          <t>O</t>
        </is>
      </c>
      <c r="O35" s="4" t="n"/>
      <c r="P35" s="24" t="inlineStr">
        <is>
          <t>O</t>
        </is>
      </c>
      <c r="Q35" s="4" t="n"/>
      <c r="R35" s="4" t="n"/>
      <c r="S35" s="24" t="inlineStr">
        <is>
          <t>O</t>
        </is>
      </c>
      <c r="T35" s="4" t="n"/>
    </row>
    <row r="36">
      <c r="A36" s="16" t="n"/>
      <c r="B36" s="19" t="n"/>
      <c r="C36" s="19" t="n"/>
      <c r="D36" s="19" t="n"/>
      <c r="E36" s="2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16" t="n"/>
      <c r="B37" s="18" t="inlineStr">
        <is>
          <t>Log message</t>
        </is>
      </c>
      <c r="C37" s="19" t="n"/>
      <c r="D37" s="19" t="n"/>
      <c r="E37" s="2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16" t="n"/>
      <c r="B38" s="19" t="n"/>
      <c r="C38" s="19" t="n"/>
      <c r="D38" s="19" t="n"/>
      <c r="E38" s="2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16" t="n"/>
      <c r="B39" s="19" t="n"/>
      <c r="C39" s="19" t="n"/>
      <c r="D39" s="19" t="n"/>
      <c r="E39" s="2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15" t="inlineStr">
        <is>
          <t>Result</t>
        </is>
      </c>
      <c r="B40" s="17" t="inlineStr">
        <is>
          <t>Type(N : Normal, A : Abnormal, B : Boundary)</t>
        </is>
      </c>
      <c r="C40" s="4" t="n"/>
      <c r="D40" s="4" t="n"/>
      <c r="E40" s="4" t="n"/>
      <c r="F40" s="25" t="inlineStr">
        <is>
          <t>N</t>
        </is>
      </c>
      <c r="G40" s="25" t="inlineStr">
        <is>
          <t>A</t>
        </is>
      </c>
      <c r="H40" s="25" t="inlineStr">
        <is>
          <t>A</t>
        </is>
      </c>
      <c r="I40" s="25" t="inlineStr">
        <is>
          <t>A</t>
        </is>
      </c>
      <c r="J40" s="25" t="inlineStr">
        <is>
          <t>A</t>
        </is>
      </c>
      <c r="K40" s="25" t="inlineStr">
        <is>
          <t>A</t>
        </is>
      </c>
      <c r="L40" s="25" t="inlineStr">
        <is>
          <t>A</t>
        </is>
      </c>
      <c r="M40" s="25" t="inlineStr">
        <is>
          <t>A</t>
        </is>
      </c>
      <c r="N40" s="25" t="inlineStr">
        <is>
          <t>A</t>
        </is>
      </c>
      <c r="O40" s="25" t="inlineStr">
        <is>
          <t>N</t>
        </is>
      </c>
      <c r="P40" s="25" t="inlineStr">
        <is>
          <t>A</t>
        </is>
      </c>
      <c r="Q40" s="25" t="inlineStr">
        <is>
          <t>N</t>
        </is>
      </c>
      <c r="R40" s="25" t="inlineStr">
        <is>
          <t>N</t>
        </is>
      </c>
      <c r="S40" s="25" t="inlineStr">
        <is>
          <t>A</t>
        </is>
      </c>
      <c r="T40" s="25" t="inlineStr">
        <is>
          <t>N</t>
        </is>
      </c>
    </row>
    <row r="41">
      <c r="A41" s="16" t="n"/>
      <c r="B41" s="17" t="inlineStr">
        <is>
          <t>Passed/Failed</t>
        </is>
      </c>
      <c r="C41" s="4" t="n"/>
      <c r="D41" s="4" t="n"/>
      <c r="E41" s="4" t="n"/>
      <c r="F41" s="25" t="inlineStr">
        <is>
          <t>P</t>
        </is>
      </c>
      <c r="G41" s="25" t="inlineStr">
        <is>
          <t>P</t>
        </is>
      </c>
      <c r="H41" s="25" t="inlineStr">
        <is>
          <t>P</t>
        </is>
      </c>
      <c r="I41" s="25" t="inlineStr">
        <is>
          <t>P</t>
        </is>
      </c>
      <c r="J41" s="25" t="inlineStr">
        <is>
          <t>P</t>
        </is>
      </c>
      <c r="K41" s="25" t="inlineStr">
        <is>
          <t>P</t>
        </is>
      </c>
      <c r="L41" s="25" t="inlineStr">
        <is>
          <t>P</t>
        </is>
      </c>
      <c r="M41" s="25" t="inlineStr">
        <is>
          <t>P</t>
        </is>
      </c>
      <c r="N41" s="25" t="inlineStr">
        <is>
          <t>P</t>
        </is>
      </c>
      <c r="O41" s="25" t="inlineStr">
        <is>
          <t>P</t>
        </is>
      </c>
      <c r="P41" s="25" t="inlineStr">
        <is>
          <t>P</t>
        </is>
      </c>
      <c r="Q41" s="25" t="inlineStr">
        <is>
          <t>P</t>
        </is>
      </c>
      <c r="R41" s="25" t="inlineStr">
        <is>
          <t>P</t>
        </is>
      </c>
      <c r="S41" s="25" t="inlineStr">
        <is>
          <t>P</t>
        </is>
      </c>
      <c r="T41" s="25" t="inlineStr">
        <is>
          <t>P</t>
        </is>
      </c>
    </row>
    <row r="42">
      <c r="A42" s="16" t="n"/>
      <c r="B42" s="17" t="inlineStr">
        <is>
          <t>Executed Date</t>
        </is>
      </c>
      <c r="C42" s="4" t="n"/>
      <c r="D42" s="4" t="n"/>
      <c r="E42" s="4" t="n"/>
      <c r="F42" s="26" t="n">
        <v>46215</v>
      </c>
      <c r="G42" s="26" t="n">
        <v>46215</v>
      </c>
      <c r="H42" s="26" t="n">
        <v>46215</v>
      </c>
      <c r="I42" s="26" t="n">
        <v>46215</v>
      </c>
      <c r="J42" s="26" t="n">
        <v>46215</v>
      </c>
      <c r="K42" s="26" t="n">
        <v>46215</v>
      </c>
      <c r="L42" s="26" t="n">
        <v>46215</v>
      </c>
      <c r="M42" s="26" t="n">
        <v>46215</v>
      </c>
      <c r="N42" s="26" t="n">
        <v>46215</v>
      </c>
      <c r="O42" s="26" t="n">
        <v>46215</v>
      </c>
      <c r="P42" s="26" t="n">
        <v>46215</v>
      </c>
      <c r="Q42" s="26" t="n">
        <v>46215</v>
      </c>
      <c r="R42" s="26" t="n">
        <v>46215</v>
      </c>
      <c r="S42" s="26" t="n">
        <v>46215</v>
      </c>
      <c r="T42" s="26" t="n">
        <v>46215</v>
      </c>
    </row>
    <row r="43">
      <c r="A43" s="16" t="n"/>
      <c r="B43" s="17" t="inlineStr">
        <is>
          <t>Defect ID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</sheetData>
  <mergeCells count="27">
    <mergeCell ref="B40:E40"/>
    <mergeCell ref="F2:K2"/>
    <mergeCell ref="A6:B6"/>
    <mergeCell ref="C4:D4"/>
    <mergeCell ref="C2:E2"/>
    <mergeCell ref="L4:T4"/>
    <mergeCell ref="B41:E41"/>
    <mergeCell ref="A7:B7"/>
    <mergeCell ref="C7:E7"/>
    <mergeCell ref="L6:N6"/>
    <mergeCell ref="A3:B3"/>
    <mergeCell ref="A2:B2"/>
    <mergeCell ref="B43:E43"/>
    <mergeCell ref="A5:B5"/>
    <mergeCell ref="C3:E3"/>
    <mergeCell ref="F4:K4"/>
    <mergeCell ref="O7:T7"/>
    <mergeCell ref="B42:E42"/>
    <mergeCell ref="C6:E6"/>
    <mergeCell ref="A4:B4"/>
    <mergeCell ref="L2:T2"/>
    <mergeCell ref="O6:T6"/>
    <mergeCell ref="F6:K6"/>
    <mergeCell ref="C5:T5"/>
    <mergeCell ref="F7:K7"/>
    <mergeCell ref="L3:N3"/>
    <mergeCell ref="F3:K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T3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2">
      <c r="A2" s="15" t="inlineStr">
        <is>
          <t>Function Code</t>
        </is>
      </c>
      <c r="B2" s="16" t="n"/>
      <c r="C2" s="17" t="inlineStr">
        <is>
          <t>SystemConfigServiceTest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SystemConfigService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217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12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SystemConfigService (systemConfig)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COUNTIF(F35:N35,"P")</f>
        <v/>
      </c>
      <c r="B7" s="4" t="n"/>
      <c r="C7" s="20">
        <f>COUNTIF(F35:N35,"F")</f>
        <v/>
      </c>
      <c r="D7" s="4" t="n"/>
      <c r="E7" s="4" t="n"/>
      <c r="F7" s="20">
        <f>9-A7-C7</f>
        <v/>
      </c>
      <c r="G7" s="4" t="n"/>
      <c r="H7" s="4" t="n"/>
      <c r="I7" s="4" t="n"/>
      <c r="J7" s="4" t="n"/>
      <c r="K7" s="4" t="n"/>
      <c r="L7" s="17">
        <f>COUNTIF(F34:N34,"N")</f>
        <v/>
      </c>
      <c r="M7" s="17">
        <f>COUNTIF(F34:N34,"A")</f>
        <v/>
      </c>
      <c r="N7" s="17">
        <f>COUNTIF(F34:N34,"B")</f>
        <v/>
      </c>
      <c r="O7" s="20" t="n">
        <v>9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  <c r="L8" s="21" t="inlineStr">
        <is>
          <t>TC007</t>
        </is>
      </c>
      <c r="M8" s="21" t="inlineStr">
        <is>
          <t>TC008</t>
        </is>
      </c>
      <c r="N8" s="21" t="inlineStr">
        <is>
          <t>TC009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24" t="inlineStr">
        <is>
          <t>O</t>
        </is>
      </c>
      <c r="M11" s="24" t="inlineStr">
        <is>
          <t>O</t>
        </is>
      </c>
      <c r="N11" s="24" t="inlineStr">
        <is>
          <t>O</t>
        </is>
      </c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testValidatePositiveIntSuccess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testValidatePositiveIntFailureZero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testValidatePositiveIntFailureString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testValidateNonNegativeIntSuccess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23" t="inlineStr">
        <is>
          <t>testValidateNonNegativeIntFailure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23" t="inlineStr">
        <is>
          <t>testValidateNonNegativeDecimalSuccess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23" t="inlineStr">
        <is>
          <t>testValidateNonNegativeDecimalFailure</t>
        </is>
      </c>
      <c r="E21" s="22" t="n"/>
      <c r="F21" s="4" t="n"/>
      <c r="G21" s="4" t="n"/>
      <c r="H21" s="4" t="n"/>
      <c r="I21" s="4" t="n"/>
      <c r="J21" s="4" t="n"/>
      <c r="K21" s="4" t="n"/>
      <c r="L21" s="24" t="inlineStr">
        <is>
          <t>O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23" t="inlineStr">
        <is>
          <t>testValidateStringSuccess</t>
        </is>
      </c>
      <c r="E22" s="22" t="n"/>
      <c r="F22" s="4" t="n"/>
      <c r="G22" s="4" t="n"/>
      <c r="H22" s="4" t="n"/>
      <c r="I22" s="4" t="n"/>
      <c r="J22" s="4" t="n"/>
      <c r="K22" s="4" t="n"/>
      <c r="L22" s="4" t="n"/>
      <c r="M22" s="24" t="inlineStr">
        <is>
          <t>O</t>
        </is>
      </c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23" t="inlineStr">
        <is>
          <t>testValidateEmptyValue</t>
        </is>
      </c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24" t="inlineStr">
        <is>
          <t>O</t>
        </is>
      </c>
      <c r="O23" s="4" t="n"/>
      <c r="P23" s="4" t="n"/>
      <c r="Q23" s="4" t="n"/>
      <c r="R23" s="4" t="n"/>
      <c r="S23" s="4" t="n"/>
      <c r="T23" s="4" t="n"/>
    </row>
    <row r="24">
      <c r="A24" s="16" t="n"/>
      <c r="B24" s="19" t="n"/>
      <c r="C24" s="19" t="n"/>
      <c r="D24" s="19" t="n"/>
      <c r="E24" s="22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6">
      <c r="A26" s="15" t="inlineStr">
        <is>
          <t>Confirm</t>
        </is>
      </c>
      <c r="B26" s="18" t="inlineStr">
        <is>
          <t>Return</t>
        </is>
      </c>
      <c r="C26" s="19" t="n"/>
      <c r="D26" s="19" t="n"/>
      <c r="E26" s="2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23" t="inlineStr">
        <is>
          <t>Assertion verified</t>
        </is>
      </c>
      <c r="E27" s="22" t="n"/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  <c r="I27" s="24" t="inlineStr">
        <is>
          <t>O</t>
        </is>
      </c>
      <c r="J27" s="24" t="inlineStr">
        <is>
          <t>O</t>
        </is>
      </c>
      <c r="K27" s="24" t="inlineStr">
        <is>
          <t>O</t>
        </is>
      </c>
      <c r="L27" s="24" t="inlineStr">
        <is>
          <t>O</t>
        </is>
      </c>
      <c r="M27" s="24" t="inlineStr">
        <is>
          <t>O</t>
        </is>
      </c>
      <c r="N27" s="24" t="inlineStr">
        <is>
          <t>O</t>
        </is>
      </c>
      <c r="O27" s="4" t="n"/>
      <c r="P27" s="4" t="n"/>
      <c r="Q27" s="4" t="n"/>
      <c r="R27" s="4" t="n"/>
      <c r="S27" s="4" t="n"/>
      <c r="T27" s="4" t="n"/>
    </row>
    <row r="28">
      <c r="A28" s="16" t="n"/>
      <c r="B28" s="19" t="n"/>
      <c r="C28" s="19" t="n"/>
      <c r="D28" s="19" t="n"/>
      <c r="E28" s="2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8" t="inlineStr">
        <is>
          <t>Exception</t>
        </is>
      </c>
      <c r="C29" s="19" t="n"/>
      <c r="D29" s="19" t="n"/>
      <c r="E29" s="22" t="n"/>
      <c r="F29" s="4" t="n"/>
      <c r="G29" s="4" t="n"/>
      <c r="H29" s="24" t="inlineStr">
        <is>
          <t>O</t>
        </is>
      </c>
      <c r="I29" s="24" t="inlineStr">
        <is>
          <t>O</t>
        </is>
      </c>
      <c r="J29" s="24" t="inlineStr">
        <is>
          <t>O</t>
        </is>
      </c>
      <c r="K29" s="24" t="inlineStr">
        <is>
          <t>O</t>
        </is>
      </c>
      <c r="L29" s="24" t="inlineStr">
        <is>
          <t>O</t>
        </is>
      </c>
      <c r="M29" s="4" t="n"/>
      <c r="N29" s="24" t="inlineStr">
        <is>
          <t>O</t>
        </is>
      </c>
      <c r="O29" s="4" t="n"/>
      <c r="P29" s="4" t="n"/>
      <c r="Q29" s="4" t="n"/>
      <c r="R29" s="4" t="n"/>
      <c r="S29" s="4" t="n"/>
      <c r="T29" s="4" t="n"/>
    </row>
    <row r="30">
      <c r="A30" s="16" t="n"/>
      <c r="B30" s="19" t="n"/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8" t="inlineStr">
        <is>
          <t>Log message</t>
        </is>
      </c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n"/>
      <c r="B33" s="19" t="n"/>
      <c r="C33" s="19" t="n"/>
      <c r="D33" s="19" t="n"/>
      <c r="E33" s="2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5" t="inlineStr">
        <is>
          <t>Result</t>
        </is>
      </c>
      <c r="B34" s="17" t="inlineStr">
        <is>
          <t>Type(N : Normal, A : Abnormal, B : Boundary)</t>
        </is>
      </c>
      <c r="C34" s="4" t="n"/>
      <c r="D34" s="4" t="n"/>
      <c r="E34" s="4" t="n"/>
      <c r="F34" s="25" t="inlineStr">
        <is>
          <t>N</t>
        </is>
      </c>
      <c r="G34" s="25" t="inlineStr">
        <is>
          <t>B</t>
        </is>
      </c>
      <c r="H34" s="25" t="inlineStr">
        <is>
          <t>A</t>
        </is>
      </c>
      <c r="I34" s="25" t="inlineStr">
        <is>
          <t>A</t>
        </is>
      </c>
      <c r="J34" s="25" t="inlineStr">
        <is>
          <t>A</t>
        </is>
      </c>
      <c r="K34" s="25" t="inlineStr">
        <is>
          <t>A</t>
        </is>
      </c>
      <c r="L34" s="25" t="inlineStr">
        <is>
          <t>A</t>
        </is>
      </c>
      <c r="M34" s="25" t="inlineStr">
        <is>
          <t>N</t>
        </is>
      </c>
      <c r="N34" s="25" t="inlineStr">
        <is>
          <t>A</t>
        </is>
      </c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Passed/Failed</t>
        </is>
      </c>
      <c r="C35" s="4" t="n"/>
      <c r="D35" s="4" t="n"/>
      <c r="E35" s="4" t="n"/>
      <c r="F35" s="25" t="inlineStr">
        <is>
          <t>P</t>
        </is>
      </c>
      <c r="G35" s="25" t="inlineStr">
        <is>
          <t>P</t>
        </is>
      </c>
      <c r="H35" s="25" t="inlineStr">
        <is>
          <t>P</t>
        </is>
      </c>
      <c r="I35" s="25" t="inlineStr">
        <is>
          <t>P</t>
        </is>
      </c>
      <c r="J35" s="25" t="inlineStr">
        <is>
          <t>P</t>
        </is>
      </c>
      <c r="K35" s="25" t="inlineStr">
        <is>
          <t>P</t>
        </is>
      </c>
      <c r="L35" s="25" t="inlineStr">
        <is>
          <t>P</t>
        </is>
      </c>
      <c r="M35" s="25" t="inlineStr">
        <is>
          <t>P</t>
        </is>
      </c>
      <c r="N35" s="25" t="inlineStr">
        <is>
          <t>P</t>
        </is>
      </c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Executed Date</t>
        </is>
      </c>
      <c r="C36" s="4" t="n"/>
      <c r="D36" s="4" t="n"/>
      <c r="E36" s="4" t="n"/>
      <c r="F36" s="26" t="n">
        <v>46215</v>
      </c>
      <c r="G36" s="26" t="n">
        <v>46215</v>
      </c>
      <c r="H36" s="26" t="n">
        <v>46215</v>
      </c>
      <c r="I36" s="26" t="n">
        <v>46215</v>
      </c>
      <c r="J36" s="26" t="n">
        <v>46215</v>
      </c>
      <c r="K36" s="26" t="n">
        <v>46215</v>
      </c>
      <c r="L36" s="26" t="n">
        <v>46215</v>
      </c>
      <c r="M36" s="26" t="n">
        <v>46215</v>
      </c>
      <c r="N36" s="26" t="n">
        <v>46215</v>
      </c>
      <c r="O36" s="4" t="n"/>
      <c r="P36" s="4" t="n"/>
      <c r="Q36" s="4" t="n"/>
      <c r="R36" s="4" t="n"/>
      <c r="S36" s="4" t="n"/>
      <c r="T36" s="4" t="n"/>
    </row>
    <row r="37">
      <c r="A37" s="16" t="n"/>
      <c r="B37" s="17" t="inlineStr">
        <is>
          <t>Defect ID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</sheetData>
  <mergeCells count="27">
    <mergeCell ref="B37:E37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</cols>
  <sheetData>
    <row r="2">
      <c r="A2" s="15" t="inlineStr">
        <is>
          <t>Function Code</t>
        </is>
      </c>
      <c r="B2" s="16" t="n"/>
      <c r="C2" s="17" t="inlineStr">
        <is>
          <t>BookImageStorageTest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BookImageStorage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117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8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BookImageStorage (util)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COUNTIF(F34:H34,"P")</f>
        <v/>
      </c>
      <c r="B7" s="4" t="n"/>
      <c r="C7" s="20">
        <f>COUNTIF(F34:H34,"F")</f>
        <v/>
      </c>
      <c r="D7" s="4" t="n"/>
      <c r="E7" s="4" t="n"/>
      <c r="F7" s="20">
        <f>3-A7-C7</f>
        <v/>
      </c>
      <c r="G7" s="4" t="n"/>
      <c r="H7" s="4" t="n"/>
      <c r="I7" s="4" t="n"/>
      <c r="J7" s="4" t="n"/>
      <c r="K7" s="4" t="n"/>
      <c r="L7" s="17">
        <f>COUNTIF(F33:H33,"N")</f>
        <v/>
      </c>
      <c r="M7" s="17">
        <f>COUNTIF(F33:H33,"A")</f>
        <v/>
      </c>
      <c r="N7" s="17">
        <f>COUNTIF(F33:H33,"B")</f>
        <v/>
      </c>
      <c r="O7" s="20" t="n">
        <v>3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saveStoresValidPngImage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saveRejectsNonImageFile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resolveRejectsUnsafeFileName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24" t="inlineStr">
        <is>
          <t>O</t>
        </is>
      </c>
      <c r="H28" s="24" t="inlineStr">
        <is>
          <t>O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A</t>
        </is>
      </c>
      <c r="H33" s="25" t="inlineStr">
        <is>
          <t>A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</cols>
  <sheetData>
    <row r="2">
      <c r="A2" s="15" t="inlineStr">
        <is>
          <t>Function Code</t>
        </is>
      </c>
      <c r="B2" s="16" t="n"/>
      <c r="C2" s="17" t="inlineStr">
        <is>
          <t>BookImportWorkbookReaderTest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BookImportWorkbookReader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210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18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BookImportWorkbookReader (util)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COUNTIF(F34:H34,"P")</f>
        <v/>
      </c>
      <c r="B7" s="4" t="n"/>
      <c r="C7" s="20">
        <f>COUNTIF(F34:H34,"F")</f>
        <v/>
      </c>
      <c r="D7" s="4" t="n"/>
      <c r="E7" s="4" t="n"/>
      <c r="F7" s="20">
        <f>3-A7-C7</f>
        <v/>
      </c>
      <c r="G7" s="4" t="n"/>
      <c r="H7" s="4" t="n"/>
      <c r="I7" s="4" t="n"/>
      <c r="J7" s="4" t="n"/>
      <c r="K7" s="4" t="n"/>
      <c r="L7" s="17">
        <f>COUNTIF(F33:H33,"N")</f>
        <v/>
      </c>
      <c r="M7" s="17">
        <f>COUNTIF(F33:H33,"A")</f>
        <v/>
      </c>
      <c r="N7" s="17">
        <f>COUNTIF(F33:H33,"B")</f>
        <v/>
      </c>
      <c r="O7" s="20" t="n">
        <v>3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readsValidWorkbookAndSkipsBlankRows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rejectsDuplicateBarcodeInsideWorkbook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rejectsMissingRequiredSheet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19" t="n"/>
      <c r="E18" s="22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19" t="n"/>
      <c r="E19" s="22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19" t="n"/>
      <c r="E20" s="2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24" t="inlineStr">
        <is>
          <t>O</t>
        </is>
      </c>
      <c r="G28" s="24" t="inlineStr">
        <is>
          <t>O</t>
        </is>
      </c>
      <c r="H28" s="24" t="inlineStr">
        <is>
          <t>O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A</t>
        </is>
      </c>
      <c r="G33" s="25" t="inlineStr">
        <is>
          <t>A</t>
        </is>
      </c>
      <c r="H33" s="25" t="inlineStr">
        <is>
          <t>A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2:T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2" customWidth="1" min="4" max="4"/>
    <col width="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2">
      <c r="A2" s="15" t="inlineStr">
        <is>
          <t>Function Code</t>
        </is>
      </c>
      <c r="B2" s="16" t="n"/>
      <c r="C2" s="17" t="inlineStr">
        <is>
          <t>IsbnValidatorTest</t>
        </is>
      </c>
      <c r="D2" s="4" t="n"/>
      <c r="E2" s="4" t="n"/>
      <c r="F2" s="18" t="inlineStr">
        <is>
          <t>Function Name</t>
        </is>
      </c>
      <c r="G2" s="19" t="n"/>
      <c r="H2" s="19" t="n"/>
      <c r="I2" s="19" t="n"/>
      <c r="J2" s="19" t="n"/>
      <c r="K2" s="19" t="n"/>
      <c r="L2" s="17" t="inlineStr">
        <is>
          <t>IsbnValidator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Created By</t>
        </is>
      </c>
      <c r="B3" s="16" t="n"/>
      <c r="C3" s="17" t="inlineStr">
        <is>
          <t>SWP391 Dev Team</t>
        </is>
      </c>
      <c r="D3" s="4" t="n"/>
      <c r="E3" s="4" t="n"/>
      <c r="F3" s="18" t="inlineStr">
        <is>
          <t>Executed By</t>
        </is>
      </c>
      <c r="G3" s="19" t="n"/>
      <c r="H3" s="19" t="n"/>
      <c r="I3" s="19" t="n"/>
      <c r="J3" s="19" t="n"/>
      <c r="K3" s="19" t="n"/>
      <c r="L3" s="17" t="inlineStr">
        <is>
          <t>SWP391 Dev Team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15" t="inlineStr">
        <is>
          <t>Lines  of code</t>
        </is>
      </c>
      <c r="B4" s="16" t="n"/>
      <c r="C4" s="17" t="n">
        <v>59</v>
      </c>
      <c r="D4" s="4" t="n"/>
      <c r="E4" s="4" t="n"/>
      <c r="F4" s="18" t="inlineStr">
        <is>
          <t>Lack of test cases</t>
        </is>
      </c>
      <c r="G4" s="19" t="n"/>
      <c r="H4" s="19" t="n"/>
      <c r="I4" s="19" t="n"/>
      <c r="J4" s="19" t="n"/>
      <c r="K4" s="19" t="n"/>
      <c r="L4" s="17" t="n">
        <v>0</v>
      </c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15" t="inlineStr">
        <is>
          <t>Test requirement</t>
        </is>
      </c>
      <c r="B5" s="16" t="n"/>
      <c r="C5" s="17" t="inlineStr">
        <is>
          <t>Unit test for IsbnValidator (util)</t>
        </is>
      </c>
      <c r="D5" s="4" t="n"/>
      <c r="E5" s="4" t="n"/>
      <c r="F5" s="19" t="n"/>
      <c r="G5" s="19" t="n"/>
      <c r="H5" s="19" t="n"/>
      <c r="I5" s="19" t="n"/>
      <c r="J5" s="19" t="n"/>
      <c r="K5" s="19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15" t="inlineStr">
        <is>
          <t>Passed</t>
        </is>
      </c>
      <c r="B6" s="16" t="n"/>
      <c r="C6" s="20" t="inlineStr">
        <is>
          <t>Failed</t>
        </is>
      </c>
      <c r="D6" s="4" t="n"/>
      <c r="E6" s="4" t="n"/>
      <c r="F6" s="18" t="inlineStr">
        <is>
          <t>Untested</t>
        </is>
      </c>
      <c r="G6" s="19" t="n"/>
      <c r="H6" s="19" t="n"/>
      <c r="I6" s="19" t="n"/>
      <c r="J6" s="19" t="n"/>
      <c r="K6" s="19" t="n"/>
      <c r="L6" s="20" t="inlineStr">
        <is>
          <t>N/A/B</t>
        </is>
      </c>
      <c r="M6" s="4" t="n"/>
      <c r="N6" s="4" t="n"/>
      <c r="O6" s="20" t="inlineStr">
        <is>
          <t>Total Test Cases</t>
        </is>
      </c>
      <c r="P6" s="4" t="n"/>
      <c r="Q6" s="4" t="n"/>
      <c r="R6" s="4" t="n"/>
      <c r="S6" s="4" t="n"/>
      <c r="T6" s="4" t="n"/>
    </row>
    <row r="7">
      <c r="A7" s="20">
        <f>COUNTIF(F34:K34,"P")</f>
        <v/>
      </c>
      <c r="B7" s="4" t="n"/>
      <c r="C7" s="20">
        <f>COUNTIF(F34:K34,"F")</f>
        <v/>
      </c>
      <c r="D7" s="4" t="n"/>
      <c r="E7" s="4" t="n"/>
      <c r="F7" s="20">
        <f>6-A7-C7</f>
        <v/>
      </c>
      <c r="G7" s="4" t="n"/>
      <c r="H7" s="4" t="n"/>
      <c r="I7" s="4" t="n"/>
      <c r="J7" s="4" t="n"/>
      <c r="K7" s="4" t="n"/>
      <c r="L7" s="17">
        <f>COUNTIF(F33:K33,"N")</f>
        <v/>
      </c>
      <c r="M7" s="17">
        <f>COUNTIF(F33:K33,"A")</f>
        <v/>
      </c>
      <c r="N7" s="17">
        <f>COUNTIF(F33:K33,"B")</f>
        <v/>
      </c>
      <c r="O7" s="20" t="n">
        <v>6</v>
      </c>
      <c r="P7" s="4" t="n"/>
      <c r="Q7" s="4" t="n"/>
      <c r="R7" s="4" t="n"/>
      <c r="S7" s="4" t="n"/>
      <c r="T7" s="4" t="n"/>
    </row>
    <row r="8" ht="55" customHeight="1">
      <c r="F8" s="21" t="inlineStr">
        <is>
          <t>TC001</t>
        </is>
      </c>
      <c r="G8" s="21" t="inlineStr">
        <is>
          <t>TC002</t>
        </is>
      </c>
      <c r="H8" s="21" t="inlineStr">
        <is>
          <t>TC003</t>
        </is>
      </c>
      <c r="I8" s="21" t="inlineStr">
        <is>
          <t>TC004</t>
        </is>
      </c>
      <c r="J8" s="21" t="inlineStr">
        <is>
          <t>TC005</t>
        </is>
      </c>
      <c r="K8" s="21" t="inlineStr">
        <is>
          <t>TC006</t>
        </is>
      </c>
    </row>
    <row r="10">
      <c r="A10" s="15" t="inlineStr">
        <is>
          <t>Condition</t>
        </is>
      </c>
      <c r="B10" s="18" t="inlineStr">
        <is>
          <t>Precondition</t>
        </is>
      </c>
      <c r="C10" s="19" t="n"/>
      <c r="D10" s="19" t="n"/>
      <c r="E10" s="22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6" t="n"/>
      <c r="B11" s="19" t="n"/>
      <c r="C11" s="19" t="n"/>
      <c r="D11" s="23" t="inlineStr">
        <is>
          <t>N/A</t>
        </is>
      </c>
      <c r="E11" s="22" t="n"/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  <c r="I11" s="24" t="inlineStr">
        <is>
          <t>O</t>
        </is>
      </c>
      <c r="J11" s="24" t="inlineStr">
        <is>
          <t>O</t>
        </is>
      </c>
      <c r="K11" s="24" t="inlineStr">
        <is>
          <t>O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16" t="n"/>
      <c r="B12" s="19" t="n"/>
      <c r="C12" s="19" t="n"/>
      <c r="D12" s="19" t="n"/>
      <c r="E12" s="22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16" t="n"/>
      <c r="B13" s="19" t="n"/>
      <c r="C13" s="19" t="n"/>
      <c r="D13" s="19" t="n"/>
      <c r="E13" s="22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16" t="n"/>
      <c r="B14" s="18" t="inlineStr">
        <is>
          <t>Test Method</t>
        </is>
      </c>
      <c r="C14" s="19" t="n"/>
      <c r="D14" s="19" t="n"/>
      <c r="E14" s="2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16" t="n"/>
      <c r="B15" s="19" t="n"/>
      <c r="C15" s="19" t="n"/>
      <c r="D15" s="23" t="inlineStr">
        <is>
          <t>acceptsValidIsbn13</t>
        </is>
      </c>
      <c r="E15" s="22" t="n"/>
      <c r="F15" s="24" t="inlineStr">
        <is>
          <t>O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16" t="n"/>
      <c r="B16" s="19" t="n"/>
      <c r="C16" s="19" t="n"/>
      <c r="D16" s="23" t="inlineStr">
        <is>
          <t>acceptsValidIsbn10WithXChecksum</t>
        </is>
      </c>
      <c r="E16" s="22" t="n"/>
      <c r="F16" s="4" t="n"/>
      <c r="G16" s="24" t="inlineStr">
        <is>
          <t>O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16" t="n"/>
      <c r="B17" s="19" t="n"/>
      <c r="C17" s="19" t="n"/>
      <c r="D17" s="23" t="inlineStr">
        <is>
          <t>normalizesHyphenAndWhitespace</t>
        </is>
      </c>
      <c r="E17" s="22" t="n"/>
      <c r="F17" s="4" t="n"/>
      <c r="G17" s="4" t="n"/>
      <c r="H17" s="24" t="inlineStr">
        <is>
          <t>O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16" t="n"/>
      <c r="B18" s="19" t="n"/>
      <c r="C18" s="19" t="n"/>
      <c r="D18" s="23" t="inlineStr">
        <is>
          <t>rejectsInvalidIsbn13Checksum</t>
        </is>
      </c>
      <c r="E18" s="22" t="n"/>
      <c r="F18" s="4" t="n"/>
      <c r="G18" s="4" t="n"/>
      <c r="H18" s="4" t="n"/>
      <c r="I18" s="24" t="inlineStr">
        <is>
          <t>O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16" t="n"/>
      <c r="B19" s="19" t="n"/>
      <c r="C19" s="19" t="n"/>
      <c r="D19" s="23" t="inlineStr">
        <is>
          <t>rejectsInvalidCharacters</t>
        </is>
      </c>
      <c r="E19" s="22" t="n"/>
      <c r="F19" s="4" t="n"/>
      <c r="G19" s="4" t="n"/>
      <c r="H19" s="4" t="n"/>
      <c r="I19" s="4" t="n"/>
      <c r="J19" s="24" t="inlineStr">
        <is>
          <t>O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16" t="n"/>
      <c r="B20" s="19" t="n"/>
      <c r="C20" s="19" t="n"/>
      <c r="D20" s="23" t="inlineStr">
        <is>
          <t>rejectsUnsupportedLength</t>
        </is>
      </c>
      <c r="E20" s="22" t="n"/>
      <c r="F20" s="4" t="n"/>
      <c r="G20" s="4" t="n"/>
      <c r="H20" s="4" t="n"/>
      <c r="I20" s="4" t="n"/>
      <c r="J20" s="4" t="n"/>
      <c r="K20" s="24" t="inlineStr">
        <is>
          <t>O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6" t="n"/>
      <c r="B21" s="19" t="n"/>
      <c r="C21" s="19" t="n"/>
      <c r="D21" s="19" t="n"/>
      <c r="E21" s="2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6" t="n"/>
      <c r="B22" s="19" t="n"/>
      <c r="C22" s="19" t="n"/>
      <c r="D22" s="19" t="n"/>
      <c r="E22" s="2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n"/>
      <c r="B23" s="19" t="n"/>
      <c r="C23" s="19" t="n"/>
      <c r="D23" s="19" t="n"/>
      <c r="E23" s="2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5">
      <c r="A25" s="15" t="inlineStr">
        <is>
          <t>Confirm</t>
        </is>
      </c>
      <c r="B25" s="18" t="inlineStr">
        <is>
          <t>Return</t>
        </is>
      </c>
      <c r="C25" s="19" t="n"/>
      <c r="D25" s="19" t="n"/>
      <c r="E25" s="2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n"/>
      <c r="B26" s="19" t="n"/>
      <c r="C26" s="19" t="n"/>
      <c r="D26" s="23" t="inlineStr">
        <is>
          <t>Assertion verified</t>
        </is>
      </c>
      <c r="E26" s="22" t="n"/>
      <c r="F26" s="24" t="inlineStr">
        <is>
          <t>O</t>
        </is>
      </c>
      <c r="G26" s="24" t="inlineStr">
        <is>
          <t>O</t>
        </is>
      </c>
      <c r="H26" s="24" t="inlineStr">
        <is>
          <t>O</t>
        </is>
      </c>
      <c r="I26" s="24" t="inlineStr">
        <is>
          <t>O</t>
        </is>
      </c>
      <c r="J26" s="24" t="inlineStr">
        <is>
          <t>O</t>
        </is>
      </c>
      <c r="K26" s="24" t="inlineStr">
        <is>
          <t>O</t>
        </is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n"/>
      <c r="B27" s="19" t="n"/>
      <c r="C27" s="19" t="n"/>
      <c r="D27" s="19" t="n"/>
      <c r="E27" s="2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n"/>
      <c r="B28" s="18" t="inlineStr">
        <is>
          <t>Exception</t>
        </is>
      </c>
      <c r="C28" s="19" t="n"/>
      <c r="D28" s="19" t="n"/>
      <c r="E28" s="22" t="n"/>
      <c r="F28" s="4" t="n"/>
      <c r="G28" s="4" t="n"/>
      <c r="H28" s="4" t="n"/>
      <c r="I28" s="24" t="inlineStr">
        <is>
          <t>O</t>
        </is>
      </c>
      <c r="J28" s="24" t="inlineStr">
        <is>
          <t>O</t>
        </is>
      </c>
      <c r="K28" s="24" t="inlineStr">
        <is>
          <t>O</t>
        </is>
      </c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n"/>
      <c r="B29" s="19" t="n"/>
      <c r="C29" s="19" t="n"/>
      <c r="D29" s="19" t="n"/>
      <c r="E29" s="2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n"/>
      <c r="B30" s="18" t="inlineStr">
        <is>
          <t>Log message</t>
        </is>
      </c>
      <c r="C30" s="19" t="n"/>
      <c r="D30" s="19" t="n"/>
      <c r="E30" s="2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n"/>
      <c r="B31" s="19" t="n"/>
      <c r="C31" s="19" t="n"/>
      <c r="D31" s="19" t="n"/>
      <c r="E31" s="2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n"/>
      <c r="B32" s="19" t="n"/>
      <c r="C32" s="19" t="n"/>
      <c r="D32" s="19" t="n"/>
      <c r="E32" s="2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5" t="inlineStr">
        <is>
          <t>Result</t>
        </is>
      </c>
      <c r="B33" s="17" t="inlineStr">
        <is>
          <t>Type(N : Normal, A : Abnormal, B : Boundary)</t>
        </is>
      </c>
      <c r="C33" s="4" t="n"/>
      <c r="D33" s="4" t="n"/>
      <c r="E33" s="4" t="n"/>
      <c r="F33" s="25" t="inlineStr">
        <is>
          <t>N</t>
        </is>
      </c>
      <c r="G33" s="25" t="inlineStr">
        <is>
          <t>N</t>
        </is>
      </c>
      <c r="H33" s="25" t="inlineStr">
        <is>
          <t>N</t>
        </is>
      </c>
      <c r="I33" s="25" t="inlineStr">
        <is>
          <t>A</t>
        </is>
      </c>
      <c r="J33" s="25" t="inlineStr">
        <is>
          <t>A</t>
        </is>
      </c>
      <c r="K33" s="25" t="inlineStr">
        <is>
          <t>A</t>
        </is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n"/>
      <c r="B34" s="17" t="inlineStr">
        <is>
          <t>Passed/Failed</t>
        </is>
      </c>
      <c r="C34" s="4" t="n"/>
      <c r="D34" s="4" t="n"/>
      <c r="E34" s="4" t="n"/>
      <c r="F34" s="25" t="inlineStr">
        <is>
          <t>P</t>
        </is>
      </c>
      <c r="G34" s="25" t="inlineStr">
        <is>
          <t>P</t>
        </is>
      </c>
      <c r="H34" s="25" t="inlineStr">
        <is>
          <t>P</t>
        </is>
      </c>
      <c r="I34" s="25" t="inlineStr">
        <is>
          <t>P</t>
        </is>
      </c>
      <c r="J34" s="25" t="inlineStr">
        <is>
          <t>P</t>
        </is>
      </c>
      <c r="K34" s="25" t="inlineStr">
        <is>
          <t>P</t>
        </is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n"/>
      <c r="B35" s="17" t="inlineStr">
        <is>
          <t>Executed Date</t>
        </is>
      </c>
      <c r="C35" s="4" t="n"/>
      <c r="D35" s="4" t="n"/>
      <c r="E35" s="4" t="n"/>
      <c r="F35" s="26" t="n">
        <v>46215</v>
      </c>
      <c r="G35" s="26" t="n">
        <v>46215</v>
      </c>
      <c r="H35" s="26" t="n">
        <v>46215</v>
      </c>
      <c r="I35" s="26" t="n">
        <v>46215</v>
      </c>
      <c r="J35" s="26" t="n">
        <v>46215</v>
      </c>
      <c r="K35" s="26" t="n">
        <v>46215</v>
      </c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n"/>
      <c r="B36" s="17" t="inlineStr">
        <is>
          <t>Defect ID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7">
    <mergeCell ref="B33:E33"/>
    <mergeCell ref="F2:K2"/>
    <mergeCell ref="A6:B6"/>
    <mergeCell ref="B36:E36"/>
    <mergeCell ref="C4:D4"/>
    <mergeCell ref="C2:E2"/>
    <mergeCell ref="L4:T4"/>
    <mergeCell ref="B35:E35"/>
    <mergeCell ref="A7:B7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4:E34"/>
    <mergeCell ref="L3:N3"/>
    <mergeCell ref="F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2026-07-12T03:02:50Z</dcterms:created>
  <dcterms:modified xmlns:dcterms="http://purl.org/dc/terms/" xmlns:xsi="http://www.w3.org/2001/XMLSchema-instance" xsi:type="dcterms:W3CDTF">2026-07-12T03:02:51Z</dcterms:modified>
</cp:coreProperties>
</file>