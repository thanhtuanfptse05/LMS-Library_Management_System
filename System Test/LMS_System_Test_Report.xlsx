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821"/>
  </bookViews>
  <sheets>
    <sheet name="Cover" sheetId="1" r:id="rId1"/>
    <sheet name="Test Cases" sheetId="2" r:id="rId2"/>
    <sheet name="Test Statistics" sheetId="3" r:id="rId3"/>
    <sheet name="TSAuthentication" sheetId="4" r:id="rId4"/>
    <sheet name="TSUserManagement" sheetId="5" r:id="rId5"/>
    <sheet name="TSBookManagement" sheetId="6" r:id="rId6"/>
    <sheet name="TSDeskCirculation" sheetId="7" r:id="rId7"/>
    <sheet name="TSBookDiscovery" sheetId="8" r:id="rId8"/>
    <sheet name="TSSelfService" sheetId="9" r:id="rId9"/>
  </sheets>
  <definedNames>
    <definedName name="ACTION">#REF!</definedName>
    <definedName name="ACTION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</authors>
  <commentList>
    <comment ref="D10" authorId="0">
      <text>
        <r>
          <rPr>
            <sz val="10"/>
            <rFont val="SimSun"/>
            <charset val="134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>
  <authors>
    <author>tqsang</author>
  </authors>
  <commentList>
    <comment ref="E10" authorId="0">
      <text>
        <r>
          <rPr>
            <sz val="10"/>
            <rFont val="SimSun"/>
            <charset val="134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>
  <authors>
    <author>tqsang</author>
  </authors>
  <commentList>
    <comment ref="E10" authorId="0">
      <text>
        <r>
          <rPr>
            <sz val="10"/>
            <rFont val="SimSun"/>
            <charset val="134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>
  <authors>
    <author>tqsang</author>
  </authors>
  <commentList>
    <comment ref="E10" authorId="0">
      <text>
        <r>
          <rPr>
            <sz val="10"/>
            <rFont val="SimSun"/>
            <charset val="134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>
  <authors>
    <author>tqsang</author>
  </authors>
  <commentList>
    <comment ref="E10" authorId="0">
      <text>
        <r>
          <rPr>
            <sz val="10"/>
            <rFont val="SimSun"/>
            <charset val="134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>
  <authors>
    <author>tqsang</author>
  </authors>
  <commentList>
    <comment ref="E10" authorId="0">
      <text>
        <r>
          <rPr>
            <sz val="10"/>
            <rFont val="SimSun"/>
            <charset val="134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7.xml><?xml version="1.0" encoding="utf-8"?>
<comments xmlns="http://schemas.openxmlformats.org/spreadsheetml/2006/main">
  <authors>
    <author>tqsang</author>
  </authors>
  <commentList>
    <comment ref="E10" authorId="0">
      <text>
        <r>
          <rPr>
            <sz val="10"/>
            <rFont val="SimSun"/>
            <charset val="134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<sst xmlns="http://schemas.openxmlformats.org/spreadsheetml/2006/main" count="1492" uniqueCount="315">
  <si>
    <t>SYSTEM TEST REPORT DOCUMENT</t>
  </si>
  <si>
    <t>Project Name</t>
  </si>
  <si>
    <t>LMS - Library Management System</t>
  </si>
  <si>
    <t>Creator</t>
  </si>
  <si>
    <t>Quality Assurance Team</t>
  </si>
  <si>
    <t>Project Code</t>
  </si>
  <si>
    <t>LMS_SWP391</t>
  </si>
  <si>
    <t>Issue Date</t>
  </si>
  <si>
    <t>2026-07-24</t>
  </si>
  <si>
    <t>Document Code</t>
  </si>
  <si>
    <t>Version</t>
  </si>
  <si>
    <t>v1.3.0</t>
  </si>
  <si>
    <t>Record of change</t>
  </si>
  <si>
    <t>Effective Date</t>
  </si>
  <si>
    <t>Change Item</t>
  </si>
  <si>
    <t>*A,D,M</t>
  </si>
  <si>
    <t>Change description</t>
  </si>
  <si>
    <t>Reference</t>
  </si>
  <si>
    <t>Hoàn thành System Testing 6 phân hệ</t>
  </si>
  <si>
    <t>M</t>
  </si>
  <si>
    <t>Báo cáo kết quả kiểm thử tự động 76 test cases trên Katalon Studio</t>
  </si>
  <si>
    <t>LMS_SWP391_SRS_v1.3.0</t>
  </si>
  <si>
    <t>TEST CASE LIST</t>
  </si>
  <si>
    <t>Test Environment Setup Description</t>
  </si>
  <si>
    <t>1. Application Server: Java JDK 17, Apache Tomcat 10, Java Servlet 5.0
2. Database: PostgreSQL (Supabase / Supavisor)
3. Testing Tool: Katalon Studio v9.x (Web Automation)
4. Web Browser: Google Chrome</t>
  </si>
  <si>
    <t>No</t>
  </si>
  <si>
    <t>Function Name</t>
  </si>
  <si>
    <t>Sheet Name</t>
  </si>
  <si>
    <t>Description</t>
  </si>
  <si>
    <t>Pre-Condition</t>
  </si>
  <si>
    <t>Xác thực &amp; Bảo mật</t>
  </si>
  <si>
    <t>TSAuthentication</t>
  </si>
  <si>
    <t>Xác minh luồng Đăng nhập, Đăng xuất, Quên mật khẩu &amp; Khóa tài khoản</t>
  </si>
  <si>
    <t>Hệ thống và CSDL mồi đã sẵn sàng</t>
  </si>
  <si>
    <t>Quản lý Người dùng</t>
  </si>
  <si>
    <t>TSUserManagement</t>
  </si>
  <si>
    <t>Xác minh luồng Quản lý người dùng, Thêm/Sửa/Khóa/Mở khóa tài khoản</t>
  </si>
  <si>
    <t>Quản lý Sách &amp; Kho</t>
  </si>
  <si>
    <t>TSBookManagement</t>
  </si>
  <si>
    <t>Xác minh luồng Quản lý sách, Thêm đầu sách, Khai báo bản sao Barcode &amp; Sửa sách</t>
  </si>
  <si>
    <t>Quầy Lưu Thông</t>
  </si>
  <si>
    <t>TSDeskCirculation</t>
  </si>
  <si>
    <t>Xác minh luồng Quầy lưu thông, Giao sách, Nhận trả sách &amp; Duyệt thu tiền mặt</t>
  </si>
  <si>
    <t>Tra cứu &amp; Khám phá Sách</t>
  </si>
  <si>
    <t>TSBookDiscovery</t>
  </si>
  <si>
    <t>Xác minh luồng Tìm kiếm sách, Lọc theo Danh mục, Tag, Trạng thái &amp; Xem chi tiết</t>
  </si>
  <si>
    <t>Tự phục vụ Độc giả</t>
  </si>
  <si>
    <t>TSSelfService</t>
  </si>
  <si>
    <t>Xác minh luồng Đặt trước sách trực tuyến, Gia hạn mượn &amp; Hủy đơn đặt trước</t>
  </si>
  <si>
    <t>TEST STATISTICS</t>
  </si>
  <si>
    <t>Reviewer/Approver</t>
  </si>
  <si>
    <t>Lead QA</t>
  </si>
  <si>
    <t>Notes</t>
  </si>
  <si>
    <t>Báo cáo tổng hợp kết quả System Testing 6 phân hệ hệ thống LMS (Tổng số 76 kịch bản kiểm thử)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</si>
  <si>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</si>
  <si>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</si>
  <si>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</si>
  <si>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</si>
  <si>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</si>
  <si>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</si>
  <si>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</si>
  <si>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</si>
  <si>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Test successful coverage</t>
  </si>
  <si>
    <t>Workflow</t>
  </si>
  <si>
    <t>Test requirement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</si>
  <si>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</si>
  <si>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</si>
  <si>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</si>
  <si>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</si>
  <si>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</si>
  <si>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</si>
  <si>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</si>
  <si>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</si>
  <si>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</si>
  <si>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</si>
  <si>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</si>
  <si>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</si>
  <si>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</si>
  <si>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TCLogin_Data01</t>
  </si>
  <si>
    <t>Đăng nhập hệ thống với các vai trò Admin, Librarian, Student, Lecturer, Manager</t>
  </si>
  <si>
    <t>password: admin1@lms.com
role: ADMIN
email: admin1@lms.com</t>
  </si>
  <si>
    <t>Đăng nhập thành công với vai trò ADMIN, chuyển hướng vào màn hình Bảng điều khiển tương ứng.</t>
  </si>
  <si>
    <t>Katalon AutoTest</t>
  </si>
  <si>
    <t>Tự động chạy thành công 10 bước</t>
  </si>
  <si>
    <t>TCLogin_Data02</t>
  </si>
  <si>
    <t>password: librarian1@lms.com
role: LIBRARIAN
email: librarian1@lms.com</t>
  </si>
  <si>
    <t>Đăng nhập thành công với vai trò LIBRARIAN, chuyển hướng vào màn hình Bảng điều khiển tương ứng.</t>
  </si>
  <si>
    <t>TCLogin_Data03</t>
  </si>
  <si>
    <t>password: student1@lms.com
role: STUDENT
email: student1@lms.com</t>
  </si>
  <si>
    <t>Đăng nhập thành công với vai trò STUDENT, chuyển hướng vào màn hình Bảng điều khiển tương ứng.</t>
  </si>
  <si>
    <t>TCLogin_Data04</t>
  </si>
  <si>
    <t>password: lecturer1@lms.com
role: LECTURER
email: lecturer1@lms.com</t>
  </si>
  <si>
    <t>Đăng nhập thành công với vai trò LECTURER, chuyển hướng vào màn hình Bảng điều khiển tương ứng.</t>
  </si>
  <si>
    <t>TCLogin_Data05</t>
  </si>
  <si>
    <t>password: manager1@lms.com
role: MANAGER
email: manager1@lms.com</t>
  </si>
  <si>
    <t>Đăng nhập thành công với vai trò MANAGER, chuyển hướng vào màn hình Bảng điều khiển tương ứng.</t>
  </si>
  <si>
    <t>TCLogin_Data06</t>
  </si>
  <si>
    <t>password: WrongPass123
email: admin1@lms.com</t>
  </si>
  <si>
    <t>Hệ thống từ chối đăng nhập, hiển thị thông báo lỗi sai tài khoản/mật khẩu.</t>
  </si>
  <si>
    <t>Tự động chạy thành công 11 bước</t>
  </si>
  <si>
    <t>TCLogin_Data07</t>
  </si>
  <si>
    <t>password: 123</t>
  </si>
  <si>
    <t>TCLogin_Data08</t>
  </si>
  <si>
    <t>password: 456
email: notexist@lms.com</t>
  </si>
  <si>
    <t>TCLogout</t>
  </si>
  <si>
    <t>Đăng xuất khỏi hệ thống</t>
  </si>
  <si>
    <t>Tham số mặc định</t>
  </si>
  <si>
    <t>Hệ thống hủy Session người dùng, đăng xuất thành công và chuyển hướng về màn hình Đăng nhập.</t>
  </si>
  <si>
    <t>Tự động chạy thành công 12 bước</t>
  </si>
  <si>
    <t>TCForgotPassword_Data01</t>
  </si>
  <si>
    <t>Gửi yêu cầu đặt lại mật khẩu khi quên mật khẩu</t>
  </si>
  <si>
    <t>email: student1@lms.com</t>
  </si>
  <si>
    <t>Hệ thống tiếp nhận yêu cầu và hiển thị thông báo gửi email reset mật khẩu thành công.</t>
  </si>
  <si>
    <t>TCForgotPassword_Data02</t>
  </si>
  <si>
    <t>email: test_dole@lms.com</t>
  </si>
  <si>
    <t>TCAccountLockout</t>
  </si>
  <si>
    <t>Tự động khóa tài khoản khi nhập sai mật khẩu 5 lần liên tiếp</t>
  </si>
  <si>
    <t>Hệ thống phát hiện đăng nhập sai quá 5 lần, tự động khóa tài khoản tạm thời và hiển thị thông báo.</t>
  </si>
  <si>
    <t>Tự động chạy thành công 8 bước</t>
  </si>
  <si>
    <t>TCCreateUser_Data01</t>
  </si>
  <si>
    <t>Thêm mới tài khoản người dùng bởi Quản trị viên (Admin)</t>
  </si>
  <si>
    <t>role: STUDENT
code: ST202601
gender: Nam
major: Software Engineering
phone: 0911000001
enrollmentYear: 2024
dob: 2004-05-15
fullName: Nguyen Van Test Student
email: user_st_2026_01@lms.com</t>
  </si>
  <si>
    <t>Hệ thống lưu tài khoản mới thành công, hiển thị thông báo và cập nhật danh sách người dùng.</t>
  </si>
  <si>
    <t>Tự động chạy thành công 23 bước</t>
  </si>
  <si>
    <t>TCCreateUser_Data02</t>
  </si>
  <si>
    <t>role: LECTURER
code: LC202601
gender: Nu
phone: 0911000002
dob: 1990-08-20
fullName: Tran Thi Test Lecturer
department: Software Department
email: user_lc_2026_01@lms.com</t>
  </si>
  <si>
    <t>TCCreateUser_Data03</t>
  </si>
  <si>
    <t>role: LIBRARIAN
code: LB202601
gender: Nam
phone: 0911000003
dob: 1988-03-10
fullName: Le Van Test Librarian
email: user_lb_2026_01@lms.com</t>
  </si>
  <si>
    <t>TCCreateUser_Data04</t>
  </si>
  <si>
    <t>role: STUDENT
code: ST202602
gender: Nam
major: Software Engineering
phone: 0911000004
enrollmentYear: 2024
dob: 2004-01-01
fullName: Loi Trung Email
email: user_st_2026_01@lms.com</t>
  </si>
  <si>
    <t>Hệ thống báo lỗi trùng lặp/thiếu thông tin bắt buộc, từ chối tạo mới tài khoản.</t>
  </si>
  <si>
    <t>Tự động chạy thành công 24 bước</t>
  </si>
  <si>
    <t>TCCreateUser_Data05</t>
  </si>
  <si>
    <t>role: STUDENT
code: ST202601
gender: Nam
major: Software Engineering
phone: 0911000005
enrollmentYear: 2024
dob: 2004-01-01
fullName: Loi Trung Ma Sinh Vien
email: user_st_2026_05@lms.com</t>
  </si>
  <si>
    <t>TCUpdateUser_Data01</t>
  </si>
  <si>
    <t>Cập nhật thông tin hồ sơ người dùng</t>
  </si>
  <si>
    <t>code: ST202601
gender: Nữ
major: Artificial Intelligence
targetEmail: user_st_2026_01@lms.com
phone: 0911000099
enrollmentYear: 2024
dob: 2004-05-15
fullName: Nguyen Van Test Student Updated
status: active</t>
  </si>
  <si>
    <t>Hệ thống cập nhật thông tin người dùng thành công và hiển thị thông báo xác nhận.</t>
  </si>
  <si>
    <t>Tự động chạy thành công 34 bước</t>
  </si>
  <si>
    <t>TCUpdateUser_Data02</t>
  </si>
  <si>
    <t>code: LC202601
gender: Nam
targetEmail: user_lc_2026_01@lms.com
phone: 0911000088
dob: 1990-08-20
fullName: Tran Thi Test Lecturer Updated
department: Computer Science
status: active</t>
  </si>
  <si>
    <t>TCUpdateUser_Data03</t>
  </si>
  <si>
    <t>code: ST202601
gender: Nam
major: AI
targetEmail: user_st_2026_01@lms.com
phone: 0911000099
enrollmentYear: 2024
dob: 2004-05-15
status: active</t>
  </si>
  <si>
    <t>Hệ thống từ chối cập nhật và hiển thị thông báo lỗi dữ liệu không hợp lệ.</t>
  </si>
  <si>
    <t>Tự động chạy thành công 35 bước</t>
  </si>
  <si>
    <t>TCLockUser</t>
  </si>
  <si>
    <t>Khóa tài khoản người dùng bởi Quản trị viên</t>
  </si>
  <si>
    <t>Hệ thống chuyển trạng thái tài khoản sang Locked (Đã khóa) và lưu lý do khóa.</t>
  </si>
  <si>
    <t>Tự động chạy thành công 21 bước</t>
  </si>
  <si>
    <t>TCUnlockUser</t>
  </si>
  <si>
    <t>Mở khóa tài khoản người dùng bởi Quản trị viên</t>
  </si>
  <si>
    <t>Tự động chạy thành công 20 bước</t>
  </si>
  <si>
    <t>TCAddBook_Data01</t>
  </si>
  <si>
    <t>Thêm mới đầu sách vào thư viện bởi Thủ thư</t>
  </si>
  <si>
    <t>author: Nguyễn Văn Kiểm Thử
price: 150000
isbn: 978-604-0-99999-3
publisher: NXB Đại Học FPT
publicationYear: 2024
title: Giáo Trình Kiểm Thử Hệ Thống 2026</t>
  </si>
  <si>
    <t>Hệ thống tạo thành công đầu sách mới vào CSDL kho sách.</t>
  </si>
  <si>
    <t>Tự động chạy thành công 31 bước</t>
  </si>
  <si>
    <t>TCAddBook_Data02</t>
  </si>
  <si>
    <t>author: Trần Văn Trùng
price: 120000
isbn: 978-604-0-99999-3
publisher: NXB Kim Đồng
publicationYear: 2024
title: Giáo Trình Kiểm Thử Hệ Thống 2026</t>
  </si>
  <si>
    <t>Tự động chạy thành công 32 bước</t>
  </si>
  <si>
    <t>TCAddBook_Data03</t>
  </si>
  <si>
    <t>author: Tác Giả ABC
price: 100000
isbn: 978-604-0-88888-2
publisher: NXB FPT
publicationYear: 2024</t>
  </si>
  <si>
    <t>TCAddBook_Data04</t>
  </si>
  <si>
    <t>author: Tác Giả XYZ
price: 100000
publisher: NXB FPT
publicationYear: 2024
title: Sách Thiếu ISBN</t>
  </si>
  <si>
    <t>TCAddBookCopy_Data01</t>
  </si>
  <si>
    <t>Khai báo bản sao sách và mã vạch Barcode</t>
  </si>
  <si>
    <t>isbn_search: 978-604-0-99999-3
location: Kệ CS-2026-01
barcode: BC-2026-9901</t>
  </si>
  <si>
    <t>Hệ thống tạo thành công bản sao sách mới kèm Mã vạch (Barcode) duy nhất.</t>
  </si>
  <si>
    <t>Tự động chạy thành công 16 bước</t>
  </si>
  <si>
    <t>TCAddBookCopy_Data02</t>
  </si>
  <si>
    <t>isbn_search: 978-604-0-99999-3
location: Kệ CS-2026-02
barcode: BC-2026-9901</t>
  </si>
  <si>
    <t>Tự động chạy thành công 17 bước</t>
  </si>
  <si>
    <t>TCAddBookCopy_Data03</t>
  </si>
  <si>
    <t>isbn_search: 978-604-0-99999-3
location: Kệ CS-2026-03</t>
  </si>
  <si>
    <t>TCUpdateBook_Data01</t>
  </si>
  <si>
    <t>Cập nhật thông tin chi tiết đầu sách</t>
  </si>
  <si>
    <t>author: Nguyễn Văn Kiểm Thử
price: 175000
isbn_search: 978-0134685991
publisher: NXB Giáo Dục
publicationYear: 2024
title: Giáo Trình Kiểm Thử LMS 2026 Updated
status: available</t>
  </si>
  <si>
    <t>Hệ thống cập nhật thông tin đầu sách thành công.</t>
  </si>
  <si>
    <t>Tự động chạy thành công 40 bước</t>
  </si>
  <si>
    <t>TCUpdateBook_Data02</t>
  </si>
  <si>
    <t>author: Nguyễn Văn Kiểm Thử
price: 175000
isbn_search: 978-0134685991
publisher: NXB Giáo Dục
publicationYear: 2024
status: available</t>
  </si>
  <si>
    <t>Tự động chạy thành công 41 bước</t>
  </si>
  <si>
    <t>TCCheckoutBook_Data01</t>
  </si>
  <si>
    <t>Giao sách cho độc giả tại quầy</t>
  </si>
  <si>
    <t>memberCode: ST20230001
barcode: BC_TEST_CHECKOUT</t>
  </si>
  <si>
    <t>Hệ thống xử lý giao sách thành công, đổi trạng thái bản sao sang 'borrowed' và tạo bản ghi mượn.</t>
  </si>
  <si>
    <t>Tự động chạy thành công 25 bước</t>
  </si>
  <si>
    <t>TCCheckoutBook_Data02</t>
  </si>
  <si>
    <t>memberCode: ST20230001
barcode: BC_NOT_FOUND</t>
  </si>
  <si>
    <t>Hệ thống từ chối giao sách, hiển thị thông báo lỗi (vượt hạn mức / đang nợ phạt / mã vạch không hợp lệ).</t>
  </si>
  <si>
    <t>Tự động chạy thành công 27 bước</t>
  </si>
  <si>
    <t>TCCheckoutBook_Data03</t>
  </si>
  <si>
    <t>memberCode: SE_TEST_QUOTA
barcode: BC_TEST_CHECKOUT</t>
  </si>
  <si>
    <t>TCCheckoutBook_Data04</t>
  </si>
  <si>
    <t>memberCode: SE_TEST_FINE
barcode: BC_TEST_CHECKOUT</t>
  </si>
  <si>
    <t>TCCheckoutBook_Data05</t>
  </si>
  <si>
    <t>memberCode: ST20230001
barcode: BC_TEST_CHECKIN_OVERDUE</t>
  </si>
  <si>
    <t>TCCheckoutBook_Data06</t>
  </si>
  <si>
    <t>memberCode: INVALID_CODE
barcode: BC_TEST_CHECKOUT</t>
  </si>
  <si>
    <t>TCCheckoutBook_Data07</t>
  </si>
  <si>
    <t>barcode: BC_TEST_CHECKOUT</t>
  </si>
  <si>
    <t>TCCheckoutBook_Data08</t>
  </si>
  <si>
    <t>memberCode: ST20230001</t>
  </si>
  <si>
    <t>TCCheckoutBook_Data09</t>
  </si>
  <si>
    <t>memberCode: student1@lms.com
barcode: BC_TEST_CHECKOUT</t>
  </si>
  <si>
    <t>TCCheckoutBook_Data10</t>
  </si>
  <si>
    <t>memberCode: ST20230001
barcode: 978-604-0-99999-3</t>
  </si>
  <si>
    <t>TCCheckinBook_Data01</t>
  </si>
  <si>
    <t>Nhận trả sách tại quầy</t>
  </si>
  <si>
    <t xml:space="preserve">memberCode: SE_TEST_FINE
condition: good
barcode: BC_TEST_CHECKIN_OVERDUE </t>
  </si>
  <si>
    <t>Hệ thống nhận trả sách thành công, cập nhật trạng thái bản sao, ghi nhận sự cố / tính tiền phạt nếu có.</t>
  </si>
  <si>
    <t>Tự động chạy thành công 30 bước</t>
  </si>
  <si>
    <t>TCCheckinBook_Data02</t>
  </si>
  <si>
    <t xml:space="preserve">memberCode: SE_TEST_FINE
condition: damaged
barcode: BC_TEST_CHECKIN_DAMAGED </t>
  </si>
  <si>
    <t>TCCheckinBook_Data03</t>
  </si>
  <si>
    <t xml:space="preserve">memberCode: SE_TEST_FINE
condition: lost
barcode: BC_TEST_CHECKIN_LOST </t>
  </si>
  <si>
    <t>TCCheckinBook_Data04</t>
  </si>
  <si>
    <t>memberCode: SE_TEST_FINE
condition: good
barcode: BC_NOT_BORROWED</t>
  </si>
  <si>
    <t>Hệ thống từ chối nhận trả sách, hiển thị thông báo lỗi mã vạch hoặc mã độc giả không hợp lệ.</t>
  </si>
  <si>
    <t>TCCheckinBook_Data05</t>
  </si>
  <si>
    <t>memberCode: SE_TEST_FINE
condition: good
barcode: BC_NOT_EXIST</t>
  </si>
  <si>
    <t>TCCheckinBook_Data06</t>
  </si>
  <si>
    <t>memberCode: SE_TEST_FINE
condition: good</t>
  </si>
  <si>
    <t>TCCheckinBook_Data07</t>
  </si>
  <si>
    <t>memberCode: INVALID_CODE
condition: good
barcode: BC_TEST_CHECKIN_OVERDUE</t>
  </si>
  <si>
    <t>TCCheckinBook_Data08</t>
  </si>
  <si>
    <t>condition: good
barcode: BC_TEST_CHECKIN_OVERDUE</t>
  </si>
  <si>
    <t>TCPayFine_Data01</t>
  </si>
  <si>
    <t>Duyệt thu tiền mặt đóng phạt tại quầy</t>
  </si>
  <si>
    <t>memberCode: SE_TEST_FINE</t>
  </si>
  <si>
    <t>Hệ thống duyệt thu tiền mặt thành công, cập nhật trạng thái Fine sang 'paid' và tự động mở khóa tài khoản.</t>
  </si>
  <si>
    <t>TCPayFine_Data02</t>
  </si>
  <si>
    <t>Hệ thống kiểm tra không có khoản nợ phạt, giữ nguyên trạng thái tài khoản và không thực hiện duyệt thu.</t>
  </si>
  <si>
    <t>Tự động chạy thành công 22 bước</t>
  </si>
  <si>
    <t>TCPayFine_Data03</t>
  </si>
  <si>
    <t>memberCode: INVALID_CODE</t>
  </si>
  <si>
    <t>TCPayFine_Data04</t>
  </si>
  <si>
    <t>TCPayFine_Data05</t>
  </si>
  <si>
    <t>memberCode: admin1@lms.com</t>
  </si>
  <si>
    <t>TCSearchBook_Data01</t>
  </si>
  <si>
    <t>TCSearchBook</t>
  </si>
  <si>
    <t>keyword: Java</t>
  </si>
  <si>
    <t>Hệ thống lọc và hiển thị danh sách các đầu sách khớp từ khóa tìm kiếm.</t>
  </si>
  <si>
    <t>TCSearchBook_Data02</t>
  </si>
  <si>
    <t>keyword: Kiểm Thử</t>
  </si>
  <si>
    <t>TCSearchBook_Data03</t>
  </si>
  <si>
    <t>keyword: 978-0134685991</t>
  </si>
  <si>
    <t>TCSearchBook_Data04</t>
  </si>
  <si>
    <t>keyword: Joshua Bloch</t>
  </si>
  <si>
    <t>TCSearchBook_Data05</t>
  </si>
  <si>
    <t>keyword: KhongTonTai123456</t>
  </si>
  <si>
    <t>Hệ thống báo không tìm thấy kết quả hoặc hiển thị danh sách rỗng.</t>
  </si>
  <si>
    <t>TCSearchBook_Data06</t>
  </si>
  <si>
    <t>TCFilterByCategory_Data01</t>
  </si>
  <si>
    <t>TCFilterByCategory</t>
  </si>
  <si>
    <t>categoryId: 1</t>
  </si>
  <si>
    <t>Hệ thống lọc danh sách sách chỉ thuộc các Danh mục được chọn.</t>
  </si>
  <si>
    <t>Tự động chạy thành công 6 bước</t>
  </si>
  <si>
    <t>TCFilterByCategory_Data02</t>
  </si>
  <si>
    <t>categoryId: 9999</t>
  </si>
  <si>
    <t>Tự động chạy thành công 7 bước</t>
  </si>
  <si>
    <t>TCFilterByTag_Data01</t>
  </si>
  <si>
    <t>TCFilterByTag</t>
  </si>
  <si>
    <t>tagId: 1</t>
  </si>
  <si>
    <t>Hệ thống lọc danh sách sách gắn các thẻ Tag tương ứng.</t>
  </si>
  <si>
    <t>TCFilterByTag_Data02</t>
  </si>
  <si>
    <t>tagId: 9999</t>
  </si>
  <si>
    <t>TCFilterByAvailability_Data01</t>
  </si>
  <si>
    <t>TCFilterByAvailability</t>
  </si>
  <si>
    <t>availableOnly: true</t>
  </si>
  <si>
    <t>Hệ thống lọc đúng các đầu sách theo trạng thái khả dụng trong kho.</t>
  </si>
  <si>
    <t>TCFilterByAvailability_Data02</t>
  </si>
  <si>
    <t>availableOnly: false</t>
  </si>
  <si>
    <t>TCViewBookDetail_Data01</t>
  </si>
  <si>
    <t>TCViewBookDetail</t>
  </si>
  <si>
    <t>bookId: 991</t>
  </si>
  <si>
    <t>Hệ thống hiển thị đầy đủ thông tin chi tiết đầu sách, vị trí kệ và các bản sao.</t>
  </si>
  <si>
    <t>Tự động chạy thành công 14 bước</t>
  </si>
  <si>
    <t>TCViewBookDetail_Data02</t>
  </si>
  <si>
    <t>bookId: 9999</t>
  </si>
  <si>
    <t>Tự động chạy thành công 15 bước</t>
  </si>
  <si>
    <t>TCReserveBookOnline_Data01</t>
  </si>
  <si>
    <t>TCReserveBookOnline</t>
  </si>
  <si>
    <t>bookId: 993</t>
  </si>
  <si>
    <t>Hệ thống ghi nhận đơn đặt trước trực tuyến thành công và cập nhật hàng đợi.</t>
  </si>
  <si>
    <t>TCReserveBookOnline_Data02</t>
  </si>
  <si>
    <t>bookId: 992</t>
  </si>
  <si>
    <t>TCReserveBookOnline_Data03</t>
  </si>
  <si>
    <t>bookId: 994</t>
  </si>
  <si>
    <t>TCReserveBookOnline_Data04</t>
  </si>
  <si>
    <t>Hệ thống từ chối đặt trước, hiển thị thông báo sách đã được mượn/đặt trước hoặc vượt giới hạn.</t>
  </si>
  <si>
    <t>TCReserveBookOnline_Data05</t>
  </si>
  <si>
    <t>bookId: -1</t>
  </si>
  <si>
    <t>TCRenewBookOnline_Data01</t>
  </si>
  <si>
    <t>TCRenewBookOnline</t>
  </si>
  <si>
    <t>borrowRecordId: 9910</t>
  </si>
  <si>
    <t>Hệ thống tự động gia hạn thêm thời hạn mượn sách thành công.</t>
  </si>
  <si>
    <t>TCRenewBookOnline_Data02</t>
  </si>
  <si>
    <t>borrowRecordId: 9911</t>
  </si>
  <si>
    <t>Hệ thống từ chối gia hạn do chưa đạt ngưỡng thời hạn mượn (ít nhất 50%) hoặc vượt số lần cho phép.</t>
  </si>
  <si>
    <t>TCRenewBookOnline_Data03</t>
  </si>
  <si>
    <t>borrowRecordId: 9999</t>
  </si>
  <si>
    <t>TCRenewBookOnline_Data04</t>
  </si>
  <si>
    <t>borrowRecordId: -1</t>
  </si>
  <si>
    <t>TCCancelReservation_Data01</t>
  </si>
  <si>
    <t>TCCancelReservation</t>
  </si>
  <si>
    <t>reservationId: 9910</t>
  </si>
  <si>
    <t>Hệ thống chuyển trạng thái đơn đặt trước sang 'cancelled' và hoàn trả vị trí kho/hàng đợi.</t>
  </si>
  <si>
    <t>TCCancelReservation_Data02</t>
  </si>
  <si>
    <t>reservationId: 9912</t>
  </si>
  <si>
    <t>TCCancelReservation_Data03</t>
  </si>
  <si>
    <t>reservationId: 9999</t>
  </si>
  <si>
    <t>Hệ thống từ chối hủy đơn đặt trước không tồn tại hoặc không thuộc quyền sở hữu.</t>
  </si>
  <si>
    <t>TCCancelReservation_Data04</t>
  </si>
  <si>
    <t>reservationId: 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</si>
</sst>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d\-mmm\-yy;@"/>
  </numFmts>
  <fonts count="43">
    <font>
      <sz val="11"/>
      <name val="ＭＳ Ｐゴシック"/>
      <charset val="128"/>
    </font>
    <font>
      <sz val="10"/>
      <color indexed="8"/>
      <name val="Tahoma"/>
      <charset val="134"/>
    </font>
    <font>
      <sz val="10"/>
      <name val="Tahoma"/>
      <charset val="134"/>
    </font>
    <font>
      <sz val="10"/>
      <color indexed="10"/>
      <name val="Tahoma"/>
      <charset val="134"/>
    </font>
    <font>
      <b/>
      <sz val="10"/>
      <name val="Tahoma"/>
      <charset val="134"/>
    </font>
    <font>
      <i/>
      <sz val="10"/>
      <color indexed="17"/>
      <name val="Tahoma"/>
      <charset val="134"/>
    </font>
    <font>
      <b/>
      <i/>
      <sz val="10"/>
      <name val="Tahoma"/>
      <charset val="134"/>
    </font>
    <font>
      <b/>
      <sz val="10"/>
      <color indexed="8"/>
      <name val="Tahoma"/>
      <charset val="134"/>
    </font>
    <font>
      <b/>
      <sz val="10"/>
      <color indexed="9"/>
      <name val="Tahoma"/>
      <charset val="134"/>
    </font>
    <font>
      <b/>
      <sz val="10"/>
      <color rgb="FF006100"/>
      <name val="Tahoma"/>
      <charset val="134"/>
    </font>
    <font>
      <b/>
      <sz val="10"/>
      <color indexed="10"/>
      <name val="Tahoma"/>
      <charset val="134"/>
    </font>
    <font>
      <b/>
      <sz val="20"/>
      <color indexed="8"/>
      <name val="Tahoma"/>
      <charset val="134"/>
    </font>
    <font>
      <b/>
      <sz val="10"/>
      <color indexed="60"/>
      <name val="Tahoma"/>
      <charset val="134"/>
    </font>
    <font>
      <sz val="10"/>
      <color theme="0"/>
      <name val="Tahoma"/>
      <charset val="134"/>
    </font>
    <font>
      <sz val="10"/>
      <color indexed="9"/>
      <name val="Tahoma"/>
      <charset val="134"/>
    </font>
    <font>
      <b/>
      <sz val="11"/>
      <name val="ＭＳ Ｐゴシック"/>
      <charset val="128"/>
    </font>
    <font>
      <b/>
      <sz val="10"/>
      <color indexed="12"/>
      <name val="Tahoma"/>
      <charset val="134"/>
    </font>
    <font>
      <u/>
      <sz val="11"/>
      <color rgb="FF800080"/>
      <name val="ＭＳ Ｐゴシック"/>
      <charset val="128"/>
    </font>
    <font>
      <sz val="10"/>
      <color theme="1"/>
      <name val="Tahoma"/>
      <charset val="134"/>
    </font>
    <font>
      <b/>
      <sz val="26"/>
      <color indexed="10"/>
      <name val="Tahoma"/>
      <charset val="134"/>
    </font>
    <font>
      <i/>
      <sz val="10"/>
      <name val="Tahoma"/>
      <charset val="134"/>
    </font>
    <font>
      <sz val="11"/>
      <color theme="1"/>
      <name val="Calibri"/>
      <charset val="134"/>
      <scheme val="minor"/>
    </font>
    <font>
      <u/>
      <sz val="11"/>
      <color indexed="12"/>
      <name val="ＭＳ Ｐゴシック"/>
      <charset val="128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ＭＳ ゴシック"/>
      <charset val="128"/>
    </font>
    <font>
      <sz val="10"/>
      <name val="SimSun"/>
      <charset val="134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6" tint="-0.249977111117893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rgb="FFC6EFCE"/>
        <bgColor indexed="64"/>
      </patternFill>
    </fill>
    <fill>
      <patternFill patternType="solid">
        <fgColor indexed="18"/>
        <bgColor indexed="32"/>
      </patternFill>
    </fill>
    <fill>
      <patternFill patternType="solid">
        <fgColor rgb="FF000080"/>
        <bgColor indexed="26"/>
      </patternFill>
    </fill>
    <fill>
      <patternFill patternType="solid">
        <fgColor theme="0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21" fillId="0" borderId="0">
      <alignment vertical="center"/>
    </xf>
    <xf numFmtId="177" fontId="21" fillId="0" borderId="0">
      <alignment vertical="center"/>
    </xf>
    <xf numFmtId="9" fontId="21" fillId="0" borderId="0">
      <alignment vertical="center"/>
    </xf>
    <xf numFmtId="178" fontId="21" fillId="0" borderId="0">
      <alignment vertical="center"/>
    </xf>
    <xf numFmtId="179" fontId="21" fillId="0" borderId="0">
      <alignment vertical="center"/>
    </xf>
    <xf numFmtId="0" fontId="22" fillId="0" borderId="0"/>
    <xf numFmtId="0" fontId="23" fillId="0" borderId="0">
      <alignment vertical="center"/>
    </xf>
    <xf numFmtId="0" fontId="21" fillId="10" borderId="29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30">
      <alignment vertical="center"/>
    </xf>
    <xf numFmtId="0" fontId="28" fillId="0" borderId="30">
      <alignment vertical="center"/>
    </xf>
    <xf numFmtId="0" fontId="29" fillId="0" borderId="31">
      <alignment vertical="center"/>
    </xf>
    <xf numFmtId="0" fontId="29" fillId="0" borderId="0">
      <alignment vertical="center"/>
    </xf>
    <xf numFmtId="0" fontId="30" fillId="11" borderId="32">
      <alignment vertical="center"/>
    </xf>
    <xf numFmtId="0" fontId="31" fillId="12" borderId="33">
      <alignment vertical="center"/>
    </xf>
    <xf numFmtId="0" fontId="32" fillId="12" borderId="32">
      <alignment vertical="center"/>
    </xf>
    <xf numFmtId="0" fontId="33" fillId="13" borderId="34">
      <alignment vertical="center"/>
    </xf>
    <xf numFmtId="0" fontId="34" fillId="0" borderId="35">
      <alignment vertical="center"/>
    </xf>
    <xf numFmtId="0" fontId="35" fillId="0" borderId="36">
      <alignment vertical="center"/>
    </xf>
    <xf numFmtId="0" fontId="36" fillId="5" borderId="0">
      <alignment vertical="center"/>
    </xf>
    <xf numFmtId="0" fontId="37" fillId="14" borderId="0">
      <alignment vertical="center"/>
    </xf>
    <xf numFmtId="0" fontId="38" fillId="15" borderId="0">
      <alignment vertical="center"/>
    </xf>
    <xf numFmtId="0" fontId="39" fillId="16" borderId="0">
      <alignment vertical="center"/>
    </xf>
    <xf numFmtId="0" fontId="40" fillId="17" borderId="0">
      <alignment vertical="center"/>
    </xf>
    <xf numFmtId="0" fontId="40" fillId="18" borderId="0">
      <alignment vertical="center"/>
    </xf>
    <xf numFmtId="0" fontId="39" fillId="19" borderId="0">
      <alignment vertical="center"/>
    </xf>
    <xf numFmtId="0" fontId="39" fillId="20" borderId="0">
      <alignment vertical="center"/>
    </xf>
    <xf numFmtId="0" fontId="40" fillId="21" borderId="0">
      <alignment vertical="center"/>
    </xf>
    <xf numFmtId="0" fontId="40" fillId="22" borderId="0">
      <alignment vertical="center"/>
    </xf>
    <xf numFmtId="0" fontId="39" fillId="23" borderId="0">
      <alignment vertical="center"/>
    </xf>
    <xf numFmtId="0" fontId="39" fillId="24" borderId="0">
      <alignment vertical="center"/>
    </xf>
    <xf numFmtId="0" fontId="40" fillId="25" borderId="0">
      <alignment vertical="center"/>
    </xf>
    <xf numFmtId="0" fontId="40" fillId="26" borderId="0">
      <alignment vertical="center"/>
    </xf>
    <xf numFmtId="0" fontId="39" fillId="27" borderId="0">
      <alignment vertical="center"/>
    </xf>
    <xf numFmtId="0" fontId="39" fillId="28" borderId="0">
      <alignment vertical="center"/>
    </xf>
    <xf numFmtId="0" fontId="40" fillId="29" borderId="0">
      <alignment vertical="center"/>
    </xf>
    <xf numFmtId="0" fontId="40" fillId="30" borderId="0">
      <alignment vertical="center"/>
    </xf>
    <xf numFmtId="0" fontId="39" fillId="31" borderId="0">
      <alignment vertical="center"/>
    </xf>
    <xf numFmtId="0" fontId="39" fillId="32" borderId="0">
      <alignment vertical="center"/>
    </xf>
    <xf numFmtId="0" fontId="40" fillId="33" borderId="0">
      <alignment vertical="center"/>
    </xf>
    <xf numFmtId="0" fontId="40" fillId="34" borderId="0">
      <alignment vertical="center"/>
    </xf>
    <xf numFmtId="0" fontId="39" fillId="35" borderId="0">
      <alignment vertical="center"/>
    </xf>
    <xf numFmtId="0" fontId="39" fillId="36" borderId="0">
      <alignment vertical="center"/>
    </xf>
    <xf numFmtId="0" fontId="40" fillId="37" borderId="0">
      <alignment vertical="center"/>
    </xf>
    <xf numFmtId="0" fontId="40" fillId="38" borderId="0">
      <alignment vertical="center"/>
    </xf>
    <xf numFmtId="0" fontId="39" fillId="39" borderId="0">
      <alignment vertical="center"/>
    </xf>
    <xf numFmtId="0" fontId="0" fillId="0" borderId="0"/>
    <xf numFmtId="0" fontId="0" fillId="0" borderId="0"/>
    <xf numFmtId="0" fontId="0" fillId="0" borderId="0"/>
    <xf numFmtId="0" fontId="41" fillId="0" borderId="0"/>
  </cellStyleXfs>
  <cellXfs count="13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/>
    </xf>
    <xf numFmtId="0" fontId="2" fillId="2" borderId="0" xfId="0" applyFont="1" applyFill="1"/>
    <xf numFmtId="0" fontId="3" fillId="2" borderId="0" xfId="0" applyFont="1" applyFill="1"/>
    <xf numFmtId="0" fontId="4" fillId="2" borderId="1" xfId="50" applyFont="1" applyFill="1" applyBorder="1" applyAlignment="1">
      <alignment horizontal="center" vertical="top" wrapText="1"/>
    </xf>
    <xf numFmtId="0" fontId="2" fillId="2" borderId="2" xfId="5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5" fillId="2" borderId="0" xfId="50" applyFont="1" applyFill="1" applyAlignment="1">
      <alignment wrapText="1"/>
    </xf>
    <xf numFmtId="0" fontId="5" fillId="2" borderId="0" xfId="50" applyFont="1" applyFill="1" applyAlignment="1">
      <alignment horizontal="left" wrapText="1"/>
    </xf>
    <xf numFmtId="0" fontId="2" fillId="2" borderId="0" xfId="0" applyFont="1" applyFill="1" applyAlignment="1">
      <alignment wrapText="1"/>
    </xf>
    <xf numFmtId="0" fontId="4" fillId="2" borderId="5" xfId="50" applyFont="1" applyFill="1" applyBorder="1" applyAlignment="1">
      <alignment horizontal="center" vertical="top" wrapText="1"/>
    </xf>
    <xf numFmtId="0" fontId="2" fillId="2" borderId="6" xfId="50" applyFont="1" applyFill="1" applyBorder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6" fillId="2" borderId="5" xfId="50" applyFont="1" applyFill="1" applyBorder="1" applyAlignment="1">
      <alignment horizontal="center" vertical="top" wrapText="1"/>
    </xf>
    <xf numFmtId="0" fontId="6" fillId="2" borderId="6" xfId="50" applyFont="1" applyFill="1" applyBorder="1" applyAlignment="1">
      <alignment horizontal="center" vertical="top" wrapText="1"/>
    </xf>
    <xf numFmtId="0" fontId="6" fillId="2" borderId="9" xfId="5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2" fillId="2" borderId="6" xfId="50" applyFont="1" applyFill="1" applyBorder="1" applyAlignment="1">
      <alignment horizontal="center" vertical="top" wrapText="1"/>
    </xf>
    <xf numFmtId="0" fontId="2" fillId="2" borderId="9" xfId="5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6" fillId="2" borderId="10" xfId="50" applyFont="1" applyFill="1" applyBorder="1" applyAlignment="1">
      <alignment horizontal="center" vertical="top" wrapText="1"/>
    </xf>
    <xf numFmtId="0" fontId="2" fillId="2" borderId="11" xfId="50" applyFont="1" applyFill="1" applyBorder="1" applyAlignment="1">
      <alignment horizontal="center" vertical="top" wrapText="1"/>
    </xf>
    <xf numFmtId="0" fontId="2" fillId="2" borderId="12" xfId="5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wrapText="1"/>
    </xf>
    <xf numFmtId="0" fontId="8" fillId="3" borderId="6" xfId="50" applyFont="1" applyFill="1" applyBorder="1" applyAlignment="1">
      <alignment horizontal="center" vertical="center" wrapText="1"/>
    </xf>
    <xf numFmtId="0" fontId="2" fillId="4" borderId="13" xfId="50" applyFont="1" applyFill="1" applyBorder="1" applyAlignment="1">
      <alignment vertical="top" wrapText="1"/>
    </xf>
    <xf numFmtId="0" fontId="9" fillId="5" borderId="13" xfId="50" applyFont="1" applyFill="1" applyBorder="1" applyAlignment="1">
      <alignment horizontal="center" vertical="top"/>
    </xf>
    <xf numFmtId="0" fontId="2" fillId="2" borderId="13" xfId="50" applyFont="1" applyFill="1" applyBorder="1" applyAlignment="1">
      <alignment vertical="top" wrapText="1"/>
    </xf>
    <xf numFmtId="0" fontId="2" fillId="2" borderId="13" xfId="0" applyFont="1" applyFill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9" fillId="5" borderId="13" xfId="0" applyFont="1" applyFill="1" applyBorder="1" applyAlignment="1">
      <alignment horizontal="center" vertical="top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wrapText="1"/>
    </xf>
    <xf numFmtId="0" fontId="10" fillId="2" borderId="0" xfId="50" applyFont="1" applyFill="1" applyAlignment="1">
      <alignment horizontal="center" vertical="center" wrapText="1"/>
    </xf>
    <xf numFmtId="0" fontId="10" fillId="2" borderId="0" xfId="50" applyFont="1" applyFill="1" applyAlignment="1">
      <alignment horizontal="left" vertical="center"/>
    </xf>
    <xf numFmtId="0" fontId="3" fillId="2" borderId="0" xfId="0" applyFont="1" applyFill="1" applyAlignment="1">
      <alignment vertical="top" wrapText="1"/>
    </xf>
    <xf numFmtId="0" fontId="11" fillId="2" borderId="0" xfId="49" applyFont="1" applyFill="1" applyAlignment="1">
      <alignment horizontal="center"/>
    </xf>
    <xf numFmtId="0" fontId="4" fillId="2" borderId="0" xfId="49" applyFont="1" applyFill="1"/>
    <xf numFmtId="0" fontId="2" fillId="2" borderId="0" xfId="49" applyFont="1" applyFill="1"/>
    <xf numFmtId="180" fontId="2" fillId="2" borderId="0" xfId="49" applyNumberFormat="1" applyFont="1" applyFill="1"/>
    <xf numFmtId="0" fontId="12" fillId="2" borderId="14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/>
    </xf>
    <xf numFmtId="0" fontId="0" fillId="0" borderId="15" xfId="0" applyBorder="1"/>
    <xf numFmtId="0" fontId="12" fillId="2" borderId="14" xfId="0" applyFont="1" applyFill="1" applyBorder="1" applyAlignment="1">
      <alignment horizontal="left"/>
    </xf>
    <xf numFmtId="0" fontId="12" fillId="2" borderId="15" xfId="0" applyFont="1" applyFill="1" applyBorder="1" applyAlignment="1">
      <alignment horizontal="left"/>
    </xf>
    <xf numFmtId="0" fontId="2" fillId="2" borderId="15" xfId="0" applyFont="1" applyFill="1" applyBorder="1" applyAlignment="1">
      <alignment vertical="top"/>
    </xf>
    <xf numFmtId="0" fontId="12" fillId="2" borderId="14" xfId="0" applyFont="1" applyFill="1" applyBorder="1" applyAlignment="1">
      <alignment vertical="center"/>
    </xf>
    <xf numFmtId="0" fontId="5" fillId="2" borderId="15" xfId="0" applyFont="1" applyFill="1" applyBorder="1" applyAlignment="1">
      <alignment vertical="top"/>
    </xf>
    <xf numFmtId="0" fontId="5" fillId="2" borderId="14" xfId="49" applyFont="1" applyFill="1" applyBorder="1" applyAlignment="1">
      <alignment vertical="top"/>
    </xf>
    <xf numFmtId="0" fontId="0" fillId="0" borderId="16" xfId="0" applyBorder="1"/>
    <xf numFmtId="0" fontId="12" fillId="2" borderId="0" xfId="0" applyFont="1" applyFill="1"/>
    <xf numFmtId="0" fontId="5" fillId="2" borderId="0" xfId="49" applyFont="1" applyFill="1"/>
    <xf numFmtId="0" fontId="8" fillId="6" borderId="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/>
    <xf numFmtId="0" fontId="2" fillId="7" borderId="17" xfId="0" applyFont="1" applyFill="1" applyBorder="1" applyAlignment="1">
      <alignment horizontal="center"/>
    </xf>
    <xf numFmtId="0" fontId="13" fillId="7" borderId="17" xfId="0" applyFont="1" applyFill="1" applyBorder="1"/>
    <xf numFmtId="0" fontId="13" fillId="7" borderId="17" xfId="0" applyFont="1" applyFill="1" applyBorder="1" applyAlignment="1">
      <alignment horizontal="center"/>
    </xf>
    <xf numFmtId="0" fontId="14" fillId="8" borderId="0" xfId="0" applyFont="1" applyFill="1" applyBorder="1" applyAlignment="1">
      <alignment horizontal="center"/>
    </xf>
    <xf numFmtId="0" fontId="8" fillId="8" borderId="0" xfId="0" applyFont="1" applyFill="1" applyBorder="1"/>
    <xf numFmtId="0" fontId="2" fillId="2" borderId="0" xfId="0" applyFont="1" applyFill="1" applyAlignment="1">
      <alignment horizontal="center"/>
    </xf>
    <xf numFmtId="0" fontId="15" fillId="0" borderId="0" xfId="0" applyFont="1"/>
    <xf numFmtId="10" fontId="2" fillId="2" borderId="0" xfId="0" applyNumberFormat="1" applyFont="1" applyFill="1" applyAlignment="1">
      <alignment horizontal="center"/>
    </xf>
    <xf numFmtId="9" fontId="4" fillId="2" borderId="0" xfId="0" applyNumberFormat="1" applyFont="1" applyFill="1" applyAlignment="1">
      <alignment horizontal="right"/>
    </xf>
    <xf numFmtId="9" fontId="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/>
    </xf>
    <xf numFmtId="9" fontId="16" fillId="2" borderId="0" xfId="0" applyNumberFormat="1" applyFont="1" applyFill="1" applyAlignment="1">
      <alignment horizontal="right" wrapText="1"/>
    </xf>
    <xf numFmtId="2" fontId="16" fillId="2" borderId="0" xfId="0" applyNumberFormat="1" applyFont="1" applyFill="1" applyAlignment="1">
      <alignment horizontal="right" wrapText="1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11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1" fontId="12" fillId="2" borderId="18" xfId="0" applyNumberFormat="1" applyFont="1" applyFill="1" applyBorder="1"/>
    <xf numFmtId="1" fontId="12" fillId="2" borderId="14" xfId="0" applyNumberFormat="1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top" wrapText="1"/>
    </xf>
    <xf numFmtId="1" fontId="12" fillId="2" borderId="0" xfId="0" applyNumberFormat="1" applyFont="1" applyFill="1"/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1" fontId="8" fillId="9" borderId="19" xfId="0" applyNumberFormat="1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/>
    </xf>
    <xf numFmtId="0" fontId="8" fillId="9" borderId="21" xfId="0" applyFont="1" applyFill="1" applyBorder="1" applyAlignment="1">
      <alignment horizontal="center" vertical="center"/>
    </xf>
    <xf numFmtId="0" fontId="8" fillId="9" borderId="22" xfId="0" applyFont="1" applyFill="1" applyBorder="1" applyAlignment="1">
      <alignment horizontal="center" vertical="center"/>
    </xf>
    <xf numFmtId="1" fontId="2" fillId="2" borderId="23" xfId="0" applyNumberFormat="1" applyFont="1" applyFill="1" applyBorder="1" applyAlignment="1">
      <alignment vertical="center"/>
    </xf>
    <xf numFmtId="49" fontId="2" fillId="2" borderId="24" xfId="0" applyNumberFormat="1" applyFont="1" applyFill="1" applyBorder="1" applyAlignment="1">
      <alignment horizontal="left" vertical="center"/>
    </xf>
    <xf numFmtId="0" fontId="17" fillId="2" borderId="24" xfId="6" applyFont="1" applyFill="1" applyBorder="1" applyAlignment="1">
      <alignment horizontal="left" vertical="center"/>
    </xf>
    <xf numFmtId="0" fontId="18" fillId="2" borderId="24" xfId="6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17" fillId="0" borderId="0" xfId="6" applyFont="1" applyFill="1"/>
    <xf numFmtId="0" fontId="18" fillId="2" borderId="24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1" fontId="2" fillId="2" borderId="26" xfId="0" applyNumberFormat="1" applyFont="1" applyFill="1" applyBorder="1" applyAlignment="1">
      <alignment vertical="center"/>
    </xf>
    <xf numFmtId="49" fontId="2" fillId="2" borderId="27" xfId="0" applyNumberFormat="1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0" borderId="0" xfId="51" applyFont="1" applyAlignment="1">
      <alignment horizontal="center" vertical="center"/>
    </xf>
    <xf numFmtId="0" fontId="2" fillId="0" borderId="0" xfId="51" applyFont="1" applyAlignment="1">
      <alignment vertical="center"/>
    </xf>
    <xf numFmtId="0" fontId="2" fillId="0" borderId="0" xfId="51" applyFont="1" applyAlignment="1">
      <alignment vertical="top"/>
    </xf>
    <xf numFmtId="0" fontId="2" fillId="0" borderId="0" xfId="51" applyFont="1" applyAlignment="1">
      <alignment horizontal="left" indent="1"/>
    </xf>
    <xf numFmtId="0" fontId="2" fillId="0" borderId="0" xfId="51" applyFont="1"/>
    <xf numFmtId="0" fontId="19" fillId="0" borderId="18" xfId="51" applyFont="1" applyBorder="1" applyAlignment="1">
      <alignment horizontal="center" vertical="center"/>
    </xf>
    <xf numFmtId="0" fontId="11" fillId="0" borderId="14" xfId="51" applyFont="1" applyBorder="1" applyAlignment="1">
      <alignment horizontal="center" vertical="center"/>
    </xf>
    <xf numFmtId="0" fontId="12" fillId="2" borderId="0" xfId="51" applyFont="1" applyFill="1" applyAlignment="1">
      <alignment horizontal="left" indent="1"/>
    </xf>
    <xf numFmtId="0" fontId="5" fillId="0" borderId="0" xfId="51" applyFont="1" applyAlignment="1">
      <alignment horizontal="left" indent="1"/>
    </xf>
    <xf numFmtId="0" fontId="2" fillId="2" borderId="0" xfId="51" applyFont="1" applyFill="1"/>
    <xf numFmtId="0" fontId="4" fillId="2" borderId="14" xfId="51" applyFont="1" applyFill="1" applyBorder="1" applyAlignment="1">
      <alignment horizontal="left"/>
    </xf>
    <xf numFmtId="0" fontId="20" fillId="0" borderId="14" xfId="51" applyFont="1" applyBorder="1" applyAlignment="1">
      <alignment horizontal="left"/>
    </xf>
    <xf numFmtId="0" fontId="2" fillId="0" borderId="15" xfId="51" applyFont="1" applyBorder="1"/>
    <xf numFmtId="0" fontId="20" fillId="0" borderId="15" xfId="51" applyFont="1" applyBorder="1"/>
    <xf numFmtId="0" fontId="4" fillId="2" borderId="14" xfId="51" applyFont="1" applyFill="1" applyBorder="1" applyAlignment="1">
      <alignment vertical="center"/>
    </xf>
    <xf numFmtId="0" fontId="20" fillId="0" borderId="14" xfId="51" applyFont="1" applyBorder="1" applyAlignment="1">
      <alignment horizontal="left" vertical="center"/>
    </xf>
    <xf numFmtId="0" fontId="20" fillId="0" borderId="15" xfId="51" applyFont="1" applyBorder="1" applyAlignment="1">
      <alignment horizontal="left" indent="1"/>
    </xf>
    <xf numFmtId="0" fontId="4" fillId="0" borderId="0" xfId="51" applyFont="1"/>
    <xf numFmtId="0" fontId="5" fillId="0" borderId="0" xfId="51" applyFont="1" applyAlignment="1">
      <alignment horizontal="left"/>
    </xf>
    <xf numFmtId="0" fontId="12" fillId="0" borderId="0" xfId="51" applyFont="1" applyAlignment="1">
      <alignment horizontal="left" indent="1"/>
    </xf>
    <xf numFmtId="0" fontId="4" fillId="0" borderId="0" xfId="51" applyFont="1" applyAlignment="1">
      <alignment horizontal="left"/>
    </xf>
    <xf numFmtId="180" fontId="8" fillId="6" borderId="19" xfId="51" applyNumberFormat="1" applyFont="1" applyFill="1" applyBorder="1" applyAlignment="1">
      <alignment horizontal="center" vertical="center"/>
    </xf>
    <xf numFmtId="0" fontId="8" fillId="6" borderId="20" xfId="51" applyFont="1" applyFill="1" applyBorder="1" applyAlignment="1">
      <alignment horizontal="center" vertical="center"/>
    </xf>
    <xf numFmtId="0" fontId="8" fillId="6" borderId="22" xfId="51" applyFont="1" applyFill="1" applyBorder="1" applyAlignment="1">
      <alignment horizontal="center" vertical="center"/>
    </xf>
    <xf numFmtId="0" fontId="20" fillId="0" borderId="23" xfId="51" applyFont="1" applyBorder="1" applyAlignment="1">
      <alignment vertical="top" wrapText="1"/>
    </xf>
    <xf numFmtId="49" fontId="2" fillId="0" borderId="24" xfId="51" applyNumberFormat="1" applyFont="1" applyBorder="1" applyAlignment="1">
      <alignment vertical="top"/>
    </xf>
    <xf numFmtId="0" fontId="2" fillId="0" borderId="24" xfId="51" applyFont="1" applyBorder="1" applyAlignment="1">
      <alignment vertical="top"/>
    </xf>
    <xf numFmtId="15" fontId="2" fillId="0" borderId="24" xfId="51" applyNumberFormat="1" applyFont="1" applyBorder="1" applyAlignment="1">
      <alignment vertical="top"/>
    </xf>
    <xf numFmtId="0" fontId="20" fillId="0" borderId="25" xfId="51" applyFont="1" applyBorder="1" applyAlignment="1">
      <alignment vertical="top" wrapText="1"/>
    </xf>
    <xf numFmtId="180" fontId="2" fillId="0" borderId="23" xfId="51" applyNumberFormat="1" applyFont="1" applyBorder="1" applyAlignment="1">
      <alignment vertical="top"/>
    </xf>
    <xf numFmtId="0" fontId="2" fillId="0" borderId="25" xfId="51" applyFont="1" applyBorder="1" applyAlignment="1">
      <alignment vertical="top"/>
    </xf>
    <xf numFmtId="180" fontId="2" fillId="0" borderId="26" xfId="51" applyNumberFormat="1" applyFont="1" applyBorder="1" applyAlignment="1">
      <alignment vertical="top"/>
    </xf>
    <xf numFmtId="49" fontId="2" fillId="0" borderId="27" xfId="51" applyNumberFormat="1" applyFont="1" applyBorder="1" applyAlignment="1">
      <alignment vertical="top"/>
    </xf>
    <xf numFmtId="0" fontId="2" fillId="0" borderId="27" xfId="51" applyFont="1" applyBorder="1" applyAlignment="1">
      <alignment vertical="top"/>
    </xf>
    <xf numFmtId="0" fontId="2" fillId="0" borderId="28" xfId="51" applyFont="1" applyBorder="1" applyAlignment="1">
      <alignment vertical="top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Functional Test Case v1.0" xfId="49"/>
    <cellStyle name="Normal_Sheet1" xfId="50"/>
    <cellStyle name="Normal_Template_UnitTest Case_v0.9" xfId="51"/>
    <cellStyle name="標準_結合試験(AllOvertheWorld)" xfId="52"/>
  </cellStyles>
  <tableStyles count="0" defaultTableStyle="TableStyleMedium9" defaultPivotStyle="PivotStyleLight16"/>
  <colors>
    <mruColors>
      <color rgb="00000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756396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0" y="256540"/>
          <a:ext cx="1929130" cy="66738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7"/>
  <sheetViews>
    <sheetView showGridLines="0" tabSelected="1" zoomScale="85" zoomScaleNormal="85" workbookViewId="0">
      <selection activeCell="J9" sqref="J9"/>
    </sheetView>
  </sheetViews>
  <sheetFormatPr defaultColWidth="9" defaultRowHeight="13.2" outlineLevelCol="5"/>
  <cols>
    <col min="1" max="1" width="28.1296296296296" style="106" customWidth="1"/>
    <col min="2" max="2" width="10" style="107" customWidth="1"/>
    <col min="3" max="3" width="35.8888888888889" style="107" customWidth="1"/>
    <col min="4" max="4" width="8" style="107" customWidth="1"/>
    <col min="5" max="5" width="38" style="107" customWidth="1"/>
    <col min="6" max="6" width="48.1296296296296" style="107" customWidth="1"/>
    <col min="7" max="256" width="9" style="107" customWidth="1"/>
    <col min="257" max="257" width="28.1296296296296" style="107" customWidth="1"/>
    <col min="258" max="258" width="10" style="107" customWidth="1"/>
    <col min="259" max="259" width="14.3333333333333" style="107" customWidth="1"/>
    <col min="260" max="260" width="8" style="107" customWidth="1"/>
    <col min="261" max="261" width="38" style="107" customWidth="1"/>
    <col min="262" max="262" width="48.1296296296296" style="107" customWidth="1"/>
    <col min="263" max="512" width="9" style="107" customWidth="1"/>
    <col min="513" max="513" width="28.1296296296296" style="107" customWidth="1"/>
    <col min="514" max="514" width="10" style="107" customWidth="1"/>
    <col min="515" max="515" width="14.3333333333333" style="107" customWidth="1"/>
    <col min="516" max="516" width="8" style="107" customWidth="1"/>
    <col min="517" max="517" width="38" style="107" customWidth="1"/>
    <col min="518" max="518" width="48.1296296296296" style="107" customWidth="1"/>
    <col min="519" max="768" width="9" style="107" customWidth="1"/>
    <col min="769" max="769" width="28.1296296296296" style="107" customWidth="1"/>
    <col min="770" max="770" width="10" style="107" customWidth="1"/>
    <col min="771" max="771" width="14.3333333333333" style="107" customWidth="1"/>
    <col min="772" max="772" width="8" style="107" customWidth="1"/>
    <col min="773" max="773" width="38" style="107" customWidth="1"/>
    <col min="774" max="774" width="48.1296296296296" style="107" customWidth="1"/>
    <col min="775" max="1024" width="9" style="107" customWidth="1"/>
    <col min="1025" max="1025" width="28.1296296296296" style="107" customWidth="1"/>
    <col min="1026" max="1026" width="10" style="107" customWidth="1"/>
    <col min="1027" max="1027" width="14.3333333333333" style="107" customWidth="1"/>
    <col min="1028" max="1028" width="8" style="107" customWidth="1"/>
    <col min="1029" max="1029" width="38" style="107" customWidth="1"/>
    <col min="1030" max="1030" width="48.1296296296296" style="107" customWidth="1"/>
    <col min="1031" max="1280" width="9" style="107" customWidth="1"/>
    <col min="1281" max="1281" width="28.1296296296296" style="107" customWidth="1"/>
    <col min="1282" max="1282" width="10" style="107" customWidth="1"/>
    <col min="1283" max="1283" width="14.3333333333333" style="107" customWidth="1"/>
    <col min="1284" max="1284" width="8" style="107" customWidth="1"/>
    <col min="1285" max="1285" width="38" style="107" customWidth="1"/>
    <col min="1286" max="1286" width="48.1296296296296" style="107" customWidth="1"/>
    <col min="1287" max="1536" width="9" style="107" customWidth="1"/>
    <col min="1537" max="1537" width="28.1296296296296" style="107" customWidth="1"/>
    <col min="1538" max="1538" width="10" style="107" customWidth="1"/>
    <col min="1539" max="1539" width="14.3333333333333" style="107" customWidth="1"/>
    <col min="1540" max="1540" width="8" style="107" customWidth="1"/>
    <col min="1541" max="1541" width="38" style="107" customWidth="1"/>
    <col min="1542" max="1542" width="48.1296296296296" style="107" customWidth="1"/>
    <col min="1543" max="1792" width="9" style="107" customWidth="1"/>
    <col min="1793" max="1793" width="28.1296296296296" style="107" customWidth="1"/>
    <col min="1794" max="1794" width="10" style="107" customWidth="1"/>
    <col min="1795" max="1795" width="14.3333333333333" style="107" customWidth="1"/>
    <col min="1796" max="1796" width="8" style="107" customWidth="1"/>
    <col min="1797" max="1797" width="38" style="107" customWidth="1"/>
    <col min="1798" max="1798" width="48.1296296296296" style="107" customWidth="1"/>
    <col min="1799" max="2048" width="9" style="107" customWidth="1"/>
    <col min="2049" max="2049" width="28.1296296296296" style="107" customWidth="1"/>
    <col min="2050" max="2050" width="10" style="107" customWidth="1"/>
    <col min="2051" max="2051" width="14.3333333333333" style="107" customWidth="1"/>
    <col min="2052" max="2052" width="8" style="107" customWidth="1"/>
    <col min="2053" max="2053" width="38" style="107" customWidth="1"/>
    <col min="2054" max="2054" width="48.1296296296296" style="107" customWidth="1"/>
    <col min="2055" max="2304" width="9" style="107" customWidth="1"/>
    <col min="2305" max="2305" width="28.1296296296296" style="107" customWidth="1"/>
    <col min="2306" max="2306" width="10" style="107" customWidth="1"/>
    <col min="2307" max="2307" width="14.3333333333333" style="107" customWidth="1"/>
    <col min="2308" max="2308" width="8" style="107" customWidth="1"/>
    <col min="2309" max="2309" width="38" style="107" customWidth="1"/>
    <col min="2310" max="2310" width="48.1296296296296" style="107" customWidth="1"/>
    <col min="2311" max="2560" width="9" style="107" customWidth="1"/>
    <col min="2561" max="2561" width="28.1296296296296" style="107" customWidth="1"/>
    <col min="2562" max="2562" width="10" style="107" customWidth="1"/>
    <col min="2563" max="2563" width="14.3333333333333" style="107" customWidth="1"/>
    <col min="2564" max="2564" width="8" style="107" customWidth="1"/>
    <col min="2565" max="2565" width="38" style="107" customWidth="1"/>
    <col min="2566" max="2566" width="48.1296296296296" style="107" customWidth="1"/>
    <col min="2567" max="2816" width="9" style="107" customWidth="1"/>
    <col min="2817" max="2817" width="28.1296296296296" style="107" customWidth="1"/>
    <col min="2818" max="2818" width="10" style="107" customWidth="1"/>
    <col min="2819" max="2819" width="14.3333333333333" style="107" customWidth="1"/>
    <col min="2820" max="2820" width="8" style="107" customWidth="1"/>
    <col min="2821" max="2821" width="38" style="107" customWidth="1"/>
    <col min="2822" max="2822" width="48.1296296296296" style="107" customWidth="1"/>
    <col min="2823" max="3072" width="9" style="107" customWidth="1"/>
    <col min="3073" max="3073" width="28.1296296296296" style="107" customWidth="1"/>
    <col min="3074" max="3074" width="10" style="107" customWidth="1"/>
    <col min="3075" max="3075" width="14.3333333333333" style="107" customWidth="1"/>
    <col min="3076" max="3076" width="8" style="107" customWidth="1"/>
    <col min="3077" max="3077" width="38" style="107" customWidth="1"/>
    <col min="3078" max="3078" width="48.1296296296296" style="107" customWidth="1"/>
    <col min="3079" max="3328" width="9" style="107" customWidth="1"/>
    <col min="3329" max="3329" width="28.1296296296296" style="107" customWidth="1"/>
    <col min="3330" max="3330" width="10" style="107" customWidth="1"/>
    <col min="3331" max="3331" width="14.3333333333333" style="107" customWidth="1"/>
    <col min="3332" max="3332" width="8" style="107" customWidth="1"/>
    <col min="3333" max="3333" width="38" style="107" customWidth="1"/>
    <col min="3334" max="3334" width="48.1296296296296" style="107" customWidth="1"/>
    <col min="3335" max="3584" width="9" style="107" customWidth="1"/>
    <col min="3585" max="3585" width="28.1296296296296" style="107" customWidth="1"/>
    <col min="3586" max="3586" width="10" style="107" customWidth="1"/>
    <col min="3587" max="3587" width="14.3333333333333" style="107" customWidth="1"/>
    <col min="3588" max="3588" width="8" style="107" customWidth="1"/>
    <col min="3589" max="3589" width="38" style="107" customWidth="1"/>
    <col min="3590" max="3590" width="48.1296296296296" style="107" customWidth="1"/>
    <col min="3591" max="3840" width="9" style="107" customWidth="1"/>
    <col min="3841" max="3841" width="28.1296296296296" style="107" customWidth="1"/>
    <col min="3842" max="3842" width="10" style="107" customWidth="1"/>
    <col min="3843" max="3843" width="14.3333333333333" style="107" customWidth="1"/>
    <col min="3844" max="3844" width="8" style="107" customWidth="1"/>
    <col min="3845" max="3845" width="38" style="107" customWidth="1"/>
    <col min="3846" max="3846" width="48.1296296296296" style="107" customWidth="1"/>
    <col min="3847" max="4096" width="9" style="107" customWidth="1"/>
    <col min="4097" max="4097" width="28.1296296296296" style="107" customWidth="1"/>
    <col min="4098" max="4098" width="10" style="107" customWidth="1"/>
    <col min="4099" max="4099" width="14.3333333333333" style="107" customWidth="1"/>
    <col min="4100" max="4100" width="8" style="107" customWidth="1"/>
    <col min="4101" max="4101" width="38" style="107" customWidth="1"/>
    <col min="4102" max="4102" width="48.1296296296296" style="107" customWidth="1"/>
    <col min="4103" max="4352" width="9" style="107" customWidth="1"/>
    <col min="4353" max="4353" width="28.1296296296296" style="107" customWidth="1"/>
    <col min="4354" max="4354" width="10" style="107" customWidth="1"/>
    <col min="4355" max="4355" width="14.3333333333333" style="107" customWidth="1"/>
    <col min="4356" max="4356" width="8" style="107" customWidth="1"/>
    <col min="4357" max="4357" width="38" style="107" customWidth="1"/>
    <col min="4358" max="4358" width="48.1296296296296" style="107" customWidth="1"/>
    <col min="4359" max="4608" width="9" style="107" customWidth="1"/>
    <col min="4609" max="4609" width="28.1296296296296" style="107" customWidth="1"/>
    <col min="4610" max="4610" width="10" style="107" customWidth="1"/>
    <col min="4611" max="4611" width="14.3333333333333" style="107" customWidth="1"/>
    <col min="4612" max="4612" width="8" style="107" customWidth="1"/>
    <col min="4613" max="4613" width="38" style="107" customWidth="1"/>
    <col min="4614" max="4614" width="48.1296296296296" style="107" customWidth="1"/>
    <col min="4615" max="4864" width="9" style="107" customWidth="1"/>
    <col min="4865" max="4865" width="28.1296296296296" style="107" customWidth="1"/>
    <col min="4866" max="4866" width="10" style="107" customWidth="1"/>
    <col min="4867" max="4867" width="14.3333333333333" style="107" customWidth="1"/>
    <col min="4868" max="4868" width="8" style="107" customWidth="1"/>
    <col min="4869" max="4869" width="38" style="107" customWidth="1"/>
    <col min="4870" max="4870" width="48.1296296296296" style="107" customWidth="1"/>
    <col min="4871" max="5120" width="9" style="107" customWidth="1"/>
    <col min="5121" max="5121" width="28.1296296296296" style="107" customWidth="1"/>
    <col min="5122" max="5122" width="10" style="107" customWidth="1"/>
    <col min="5123" max="5123" width="14.3333333333333" style="107" customWidth="1"/>
    <col min="5124" max="5124" width="8" style="107" customWidth="1"/>
    <col min="5125" max="5125" width="38" style="107" customWidth="1"/>
    <col min="5126" max="5126" width="48.1296296296296" style="107" customWidth="1"/>
    <col min="5127" max="5376" width="9" style="107" customWidth="1"/>
    <col min="5377" max="5377" width="28.1296296296296" style="107" customWidth="1"/>
    <col min="5378" max="5378" width="10" style="107" customWidth="1"/>
    <col min="5379" max="5379" width="14.3333333333333" style="107" customWidth="1"/>
    <col min="5380" max="5380" width="8" style="107" customWidth="1"/>
    <col min="5381" max="5381" width="38" style="107" customWidth="1"/>
    <col min="5382" max="5382" width="48.1296296296296" style="107" customWidth="1"/>
    <col min="5383" max="5632" width="9" style="107" customWidth="1"/>
    <col min="5633" max="5633" width="28.1296296296296" style="107" customWidth="1"/>
    <col min="5634" max="5634" width="10" style="107" customWidth="1"/>
    <col min="5635" max="5635" width="14.3333333333333" style="107" customWidth="1"/>
    <col min="5636" max="5636" width="8" style="107" customWidth="1"/>
    <col min="5637" max="5637" width="38" style="107" customWidth="1"/>
    <col min="5638" max="5638" width="48.1296296296296" style="107" customWidth="1"/>
    <col min="5639" max="5888" width="9" style="107" customWidth="1"/>
    <col min="5889" max="5889" width="28.1296296296296" style="107" customWidth="1"/>
    <col min="5890" max="5890" width="10" style="107" customWidth="1"/>
    <col min="5891" max="5891" width="14.3333333333333" style="107" customWidth="1"/>
    <col min="5892" max="5892" width="8" style="107" customWidth="1"/>
    <col min="5893" max="5893" width="38" style="107" customWidth="1"/>
    <col min="5894" max="5894" width="48.1296296296296" style="107" customWidth="1"/>
    <col min="5895" max="6144" width="9" style="107" customWidth="1"/>
    <col min="6145" max="6145" width="28.1296296296296" style="107" customWidth="1"/>
    <col min="6146" max="6146" width="10" style="107" customWidth="1"/>
    <col min="6147" max="6147" width="14.3333333333333" style="107" customWidth="1"/>
    <col min="6148" max="6148" width="8" style="107" customWidth="1"/>
    <col min="6149" max="6149" width="38" style="107" customWidth="1"/>
    <col min="6150" max="6150" width="48.1296296296296" style="107" customWidth="1"/>
    <col min="6151" max="6400" width="9" style="107" customWidth="1"/>
    <col min="6401" max="6401" width="28.1296296296296" style="107" customWidth="1"/>
    <col min="6402" max="6402" width="10" style="107" customWidth="1"/>
    <col min="6403" max="6403" width="14.3333333333333" style="107" customWidth="1"/>
    <col min="6404" max="6404" width="8" style="107" customWidth="1"/>
    <col min="6405" max="6405" width="38" style="107" customWidth="1"/>
    <col min="6406" max="6406" width="48.1296296296296" style="107" customWidth="1"/>
    <col min="6407" max="6656" width="9" style="107" customWidth="1"/>
    <col min="6657" max="6657" width="28.1296296296296" style="107" customWidth="1"/>
    <col min="6658" max="6658" width="10" style="107" customWidth="1"/>
    <col min="6659" max="6659" width="14.3333333333333" style="107" customWidth="1"/>
    <col min="6660" max="6660" width="8" style="107" customWidth="1"/>
    <col min="6661" max="6661" width="38" style="107" customWidth="1"/>
    <col min="6662" max="6662" width="48.1296296296296" style="107" customWidth="1"/>
    <col min="6663" max="6912" width="9" style="107" customWidth="1"/>
    <col min="6913" max="6913" width="28.1296296296296" style="107" customWidth="1"/>
    <col min="6914" max="6914" width="10" style="107" customWidth="1"/>
    <col min="6915" max="6915" width="14.3333333333333" style="107" customWidth="1"/>
    <col min="6916" max="6916" width="8" style="107" customWidth="1"/>
    <col min="6917" max="6917" width="38" style="107" customWidth="1"/>
    <col min="6918" max="6918" width="48.1296296296296" style="107" customWidth="1"/>
    <col min="6919" max="7168" width="9" style="107" customWidth="1"/>
    <col min="7169" max="7169" width="28.1296296296296" style="107" customWidth="1"/>
    <col min="7170" max="7170" width="10" style="107" customWidth="1"/>
    <col min="7171" max="7171" width="14.3333333333333" style="107" customWidth="1"/>
    <col min="7172" max="7172" width="8" style="107" customWidth="1"/>
    <col min="7173" max="7173" width="38" style="107" customWidth="1"/>
    <col min="7174" max="7174" width="48.1296296296296" style="107" customWidth="1"/>
    <col min="7175" max="7424" width="9" style="107" customWidth="1"/>
    <col min="7425" max="7425" width="28.1296296296296" style="107" customWidth="1"/>
    <col min="7426" max="7426" width="10" style="107" customWidth="1"/>
    <col min="7427" max="7427" width="14.3333333333333" style="107" customWidth="1"/>
    <col min="7428" max="7428" width="8" style="107" customWidth="1"/>
    <col min="7429" max="7429" width="38" style="107" customWidth="1"/>
    <col min="7430" max="7430" width="48.1296296296296" style="107" customWidth="1"/>
    <col min="7431" max="7680" width="9" style="107" customWidth="1"/>
    <col min="7681" max="7681" width="28.1296296296296" style="107" customWidth="1"/>
    <col min="7682" max="7682" width="10" style="107" customWidth="1"/>
    <col min="7683" max="7683" width="14.3333333333333" style="107" customWidth="1"/>
    <col min="7684" max="7684" width="8" style="107" customWidth="1"/>
    <col min="7685" max="7685" width="38" style="107" customWidth="1"/>
    <col min="7686" max="7686" width="48.1296296296296" style="107" customWidth="1"/>
    <col min="7687" max="7936" width="9" style="107" customWidth="1"/>
    <col min="7937" max="7937" width="28.1296296296296" style="107" customWidth="1"/>
    <col min="7938" max="7938" width="10" style="107" customWidth="1"/>
    <col min="7939" max="7939" width="14.3333333333333" style="107" customWidth="1"/>
    <col min="7940" max="7940" width="8" style="107" customWidth="1"/>
    <col min="7941" max="7941" width="38" style="107" customWidth="1"/>
    <col min="7942" max="7942" width="48.1296296296296" style="107" customWidth="1"/>
    <col min="7943" max="8192" width="9" style="107" customWidth="1"/>
    <col min="8193" max="8193" width="28.1296296296296" style="107" customWidth="1"/>
    <col min="8194" max="8194" width="10" style="107" customWidth="1"/>
    <col min="8195" max="8195" width="14.3333333333333" style="107" customWidth="1"/>
    <col min="8196" max="8196" width="8" style="107" customWidth="1"/>
    <col min="8197" max="8197" width="38" style="107" customWidth="1"/>
    <col min="8198" max="8198" width="48.1296296296296" style="107" customWidth="1"/>
    <col min="8199" max="8448" width="9" style="107" customWidth="1"/>
    <col min="8449" max="8449" width="28.1296296296296" style="107" customWidth="1"/>
    <col min="8450" max="8450" width="10" style="107" customWidth="1"/>
    <col min="8451" max="8451" width="14.3333333333333" style="107" customWidth="1"/>
    <col min="8452" max="8452" width="8" style="107" customWidth="1"/>
    <col min="8453" max="8453" width="38" style="107" customWidth="1"/>
    <col min="8454" max="8454" width="48.1296296296296" style="107" customWidth="1"/>
    <col min="8455" max="8704" width="9" style="107" customWidth="1"/>
    <col min="8705" max="8705" width="28.1296296296296" style="107" customWidth="1"/>
    <col min="8706" max="8706" width="10" style="107" customWidth="1"/>
    <col min="8707" max="8707" width="14.3333333333333" style="107" customWidth="1"/>
    <col min="8708" max="8708" width="8" style="107" customWidth="1"/>
    <col min="8709" max="8709" width="38" style="107" customWidth="1"/>
    <col min="8710" max="8710" width="48.1296296296296" style="107" customWidth="1"/>
    <col min="8711" max="8960" width="9" style="107" customWidth="1"/>
    <col min="8961" max="8961" width="28.1296296296296" style="107" customWidth="1"/>
    <col min="8962" max="8962" width="10" style="107" customWidth="1"/>
    <col min="8963" max="8963" width="14.3333333333333" style="107" customWidth="1"/>
    <col min="8964" max="8964" width="8" style="107" customWidth="1"/>
    <col min="8965" max="8965" width="38" style="107" customWidth="1"/>
    <col min="8966" max="8966" width="48.1296296296296" style="107" customWidth="1"/>
    <col min="8967" max="9216" width="9" style="107" customWidth="1"/>
    <col min="9217" max="9217" width="28.1296296296296" style="107" customWidth="1"/>
    <col min="9218" max="9218" width="10" style="107" customWidth="1"/>
    <col min="9219" max="9219" width="14.3333333333333" style="107" customWidth="1"/>
    <col min="9220" max="9220" width="8" style="107" customWidth="1"/>
    <col min="9221" max="9221" width="38" style="107" customWidth="1"/>
    <col min="9222" max="9222" width="48.1296296296296" style="107" customWidth="1"/>
    <col min="9223" max="9472" width="9" style="107" customWidth="1"/>
    <col min="9473" max="9473" width="28.1296296296296" style="107" customWidth="1"/>
    <col min="9474" max="9474" width="10" style="107" customWidth="1"/>
    <col min="9475" max="9475" width="14.3333333333333" style="107" customWidth="1"/>
    <col min="9476" max="9476" width="8" style="107" customWidth="1"/>
    <col min="9477" max="9477" width="38" style="107" customWidth="1"/>
    <col min="9478" max="9478" width="48.1296296296296" style="107" customWidth="1"/>
    <col min="9479" max="9728" width="9" style="107" customWidth="1"/>
    <col min="9729" max="9729" width="28.1296296296296" style="107" customWidth="1"/>
    <col min="9730" max="9730" width="10" style="107" customWidth="1"/>
    <col min="9731" max="9731" width="14.3333333333333" style="107" customWidth="1"/>
    <col min="9732" max="9732" width="8" style="107" customWidth="1"/>
    <col min="9733" max="9733" width="38" style="107" customWidth="1"/>
    <col min="9734" max="9734" width="48.1296296296296" style="107" customWidth="1"/>
    <col min="9735" max="9984" width="9" style="107" customWidth="1"/>
    <col min="9985" max="9985" width="28.1296296296296" style="107" customWidth="1"/>
    <col min="9986" max="9986" width="10" style="107" customWidth="1"/>
    <col min="9987" max="9987" width="14.3333333333333" style="107" customWidth="1"/>
    <col min="9988" max="9988" width="8" style="107" customWidth="1"/>
    <col min="9989" max="9989" width="38" style="107" customWidth="1"/>
    <col min="9990" max="9990" width="48.1296296296296" style="107" customWidth="1"/>
    <col min="9991" max="10240" width="9" style="107" customWidth="1"/>
    <col min="10241" max="10241" width="28.1296296296296" style="107" customWidth="1"/>
    <col min="10242" max="10242" width="10" style="107" customWidth="1"/>
    <col min="10243" max="10243" width="14.3333333333333" style="107" customWidth="1"/>
    <col min="10244" max="10244" width="8" style="107" customWidth="1"/>
    <col min="10245" max="10245" width="38" style="107" customWidth="1"/>
    <col min="10246" max="10246" width="48.1296296296296" style="107" customWidth="1"/>
    <col min="10247" max="10496" width="9" style="107" customWidth="1"/>
    <col min="10497" max="10497" width="28.1296296296296" style="107" customWidth="1"/>
    <col min="10498" max="10498" width="10" style="107" customWidth="1"/>
    <col min="10499" max="10499" width="14.3333333333333" style="107" customWidth="1"/>
    <col min="10500" max="10500" width="8" style="107" customWidth="1"/>
    <col min="10501" max="10501" width="38" style="107" customWidth="1"/>
    <col min="10502" max="10502" width="48.1296296296296" style="107" customWidth="1"/>
    <col min="10503" max="10752" width="9" style="107" customWidth="1"/>
    <col min="10753" max="10753" width="28.1296296296296" style="107" customWidth="1"/>
    <col min="10754" max="10754" width="10" style="107" customWidth="1"/>
    <col min="10755" max="10755" width="14.3333333333333" style="107" customWidth="1"/>
    <col min="10756" max="10756" width="8" style="107" customWidth="1"/>
    <col min="10757" max="10757" width="38" style="107" customWidth="1"/>
    <col min="10758" max="10758" width="48.1296296296296" style="107" customWidth="1"/>
    <col min="10759" max="11008" width="9" style="107" customWidth="1"/>
    <col min="11009" max="11009" width="28.1296296296296" style="107" customWidth="1"/>
    <col min="11010" max="11010" width="10" style="107" customWidth="1"/>
    <col min="11011" max="11011" width="14.3333333333333" style="107" customWidth="1"/>
    <col min="11012" max="11012" width="8" style="107" customWidth="1"/>
    <col min="11013" max="11013" width="38" style="107" customWidth="1"/>
    <col min="11014" max="11014" width="48.1296296296296" style="107" customWidth="1"/>
    <col min="11015" max="11264" width="9" style="107" customWidth="1"/>
    <col min="11265" max="11265" width="28.1296296296296" style="107" customWidth="1"/>
    <col min="11266" max="11266" width="10" style="107" customWidth="1"/>
    <col min="11267" max="11267" width="14.3333333333333" style="107" customWidth="1"/>
    <col min="11268" max="11268" width="8" style="107" customWidth="1"/>
    <col min="11269" max="11269" width="38" style="107" customWidth="1"/>
    <col min="11270" max="11270" width="48.1296296296296" style="107" customWidth="1"/>
    <col min="11271" max="11520" width="9" style="107" customWidth="1"/>
    <col min="11521" max="11521" width="28.1296296296296" style="107" customWidth="1"/>
    <col min="11522" max="11522" width="10" style="107" customWidth="1"/>
    <col min="11523" max="11523" width="14.3333333333333" style="107" customWidth="1"/>
    <col min="11524" max="11524" width="8" style="107" customWidth="1"/>
    <col min="11525" max="11525" width="38" style="107" customWidth="1"/>
    <col min="11526" max="11526" width="48.1296296296296" style="107" customWidth="1"/>
    <col min="11527" max="11776" width="9" style="107" customWidth="1"/>
    <col min="11777" max="11777" width="28.1296296296296" style="107" customWidth="1"/>
    <col min="11778" max="11778" width="10" style="107" customWidth="1"/>
    <col min="11779" max="11779" width="14.3333333333333" style="107" customWidth="1"/>
    <col min="11780" max="11780" width="8" style="107" customWidth="1"/>
    <col min="11781" max="11781" width="38" style="107" customWidth="1"/>
    <col min="11782" max="11782" width="48.1296296296296" style="107" customWidth="1"/>
    <col min="11783" max="12032" width="9" style="107" customWidth="1"/>
    <col min="12033" max="12033" width="28.1296296296296" style="107" customWidth="1"/>
    <col min="12034" max="12034" width="10" style="107" customWidth="1"/>
    <col min="12035" max="12035" width="14.3333333333333" style="107" customWidth="1"/>
    <col min="12036" max="12036" width="8" style="107" customWidth="1"/>
    <col min="12037" max="12037" width="38" style="107" customWidth="1"/>
    <col min="12038" max="12038" width="48.1296296296296" style="107" customWidth="1"/>
    <col min="12039" max="12288" width="9" style="107" customWidth="1"/>
    <col min="12289" max="12289" width="28.1296296296296" style="107" customWidth="1"/>
    <col min="12290" max="12290" width="10" style="107" customWidth="1"/>
    <col min="12291" max="12291" width="14.3333333333333" style="107" customWidth="1"/>
    <col min="12292" max="12292" width="8" style="107" customWidth="1"/>
    <col min="12293" max="12293" width="38" style="107" customWidth="1"/>
    <col min="12294" max="12294" width="48.1296296296296" style="107" customWidth="1"/>
    <col min="12295" max="12544" width="9" style="107" customWidth="1"/>
    <col min="12545" max="12545" width="28.1296296296296" style="107" customWidth="1"/>
    <col min="12546" max="12546" width="10" style="107" customWidth="1"/>
    <col min="12547" max="12547" width="14.3333333333333" style="107" customWidth="1"/>
    <col min="12548" max="12548" width="8" style="107" customWidth="1"/>
    <col min="12549" max="12549" width="38" style="107" customWidth="1"/>
    <col min="12550" max="12550" width="48.1296296296296" style="107" customWidth="1"/>
    <col min="12551" max="12800" width="9" style="107" customWidth="1"/>
    <col min="12801" max="12801" width="28.1296296296296" style="107" customWidth="1"/>
    <col min="12802" max="12802" width="10" style="107" customWidth="1"/>
    <col min="12803" max="12803" width="14.3333333333333" style="107" customWidth="1"/>
    <col min="12804" max="12804" width="8" style="107" customWidth="1"/>
    <col min="12805" max="12805" width="38" style="107" customWidth="1"/>
    <col min="12806" max="12806" width="48.1296296296296" style="107" customWidth="1"/>
    <col min="12807" max="13056" width="9" style="107" customWidth="1"/>
    <col min="13057" max="13057" width="28.1296296296296" style="107" customWidth="1"/>
    <col min="13058" max="13058" width="10" style="107" customWidth="1"/>
    <col min="13059" max="13059" width="14.3333333333333" style="107" customWidth="1"/>
    <col min="13060" max="13060" width="8" style="107" customWidth="1"/>
    <col min="13061" max="13061" width="38" style="107" customWidth="1"/>
    <col min="13062" max="13062" width="48.1296296296296" style="107" customWidth="1"/>
    <col min="13063" max="13312" width="9" style="107" customWidth="1"/>
    <col min="13313" max="13313" width="28.1296296296296" style="107" customWidth="1"/>
    <col min="13314" max="13314" width="10" style="107" customWidth="1"/>
    <col min="13315" max="13315" width="14.3333333333333" style="107" customWidth="1"/>
    <col min="13316" max="13316" width="8" style="107" customWidth="1"/>
    <col min="13317" max="13317" width="38" style="107" customWidth="1"/>
    <col min="13318" max="13318" width="48.1296296296296" style="107" customWidth="1"/>
    <col min="13319" max="13568" width="9" style="107" customWidth="1"/>
    <col min="13569" max="13569" width="28.1296296296296" style="107" customWidth="1"/>
    <col min="13570" max="13570" width="10" style="107" customWidth="1"/>
    <col min="13571" max="13571" width="14.3333333333333" style="107" customWidth="1"/>
    <col min="13572" max="13572" width="8" style="107" customWidth="1"/>
    <col min="13573" max="13573" width="38" style="107" customWidth="1"/>
    <col min="13574" max="13574" width="48.1296296296296" style="107" customWidth="1"/>
    <col min="13575" max="13824" width="9" style="107" customWidth="1"/>
    <col min="13825" max="13825" width="28.1296296296296" style="107" customWidth="1"/>
    <col min="13826" max="13826" width="10" style="107" customWidth="1"/>
    <col min="13827" max="13827" width="14.3333333333333" style="107" customWidth="1"/>
    <col min="13828" max="13828" width="8" style="107" customWidth="1"/>
    <col min="13829" max="13829" width="38" style="107" customWidth="1"/>
    <col min="13830" max="13830" width="48.1296296296296" style="107" customWidth="1"/>
    <col min="13831" max="14080" width="9" style="107" customWidth="1"/>
    <col min="14081" max="14081" width="28.1296296296296" style="107" customWidth="1"/>
    <col min="14082" max="14082" width="10" style="107" customWidth="1"/>
    <col min="14083" max="14083" width="14.3333333333333" style="107" customWidth="1"/>
    <col min="14084" max="14084" width="8" style="107" customWidth="1"/>
    <col min="14085" max="14085" width="38" style="107" customWidth="1"/>
    <col min="14086" max="14086" width="48.1296296296296" style="107" customWidth="1"/>
    <col min="14087" max="14336" width="9" style="107" customWidth="1"/>
    <col min="14337" max="14337" width="28.1296296296296" style="107" customWidth="1"/>
    <col min="14338" max="14338" width="10" style="107" customWidth="1"/>
    <col min="14339" max="14339" width="14.3333333333333" style="107" customWidth="1"/>
    <col min="14340" max="14340" width="8" style="107" customWidth="1"/>
    <col min="14341" max="14341" width="38" style="107" customWidth="1"/>
    <col min="14342" max="14342" width="48.1296296296296" style="107" customWidth="1"/>
    <col min="14343" max="14592" width="9" style="107" customWidth="1"/>
    <col min="14593" max="14593" width="28.1296296296296" style="107" customWidth="1"/>
    <col min="14594" max="14594" width="10" style="107" customWidth="1"/>
    <col min="14595" max="14595" width="14.3333333333333" style="107" customWidth="1"/>
    <col min="14596" max="14596" width="8" style="107" customWidth="1"/>
    <col min="14597" max="14597" width="38" style="107" customWidth="1"/>
    <col min="14598" max="14598" width="48.1296296296296" style="107" customWidth="1"/>
    <col min="14599" max="14848" width="9" style="107" customWidth="1"/>
    <col min="14849" max="14849" width="28.1296296296296" style="107" customWidth="1"/>
    <col min="14850" max="14850" width="10" style="107" customWidth="1"/>
    <col min="14851" max="14851" width="14.3333333333333" style="107" customWidth="1"/>
    <col min="14852" max="14852" width="8" style="107" customWidth="1"/>
    <col min="14853" max="14853" width="38" style="107" customWidth="1"/>
    <col min="14854" max="14854" width="48.1296296296296" style="107" customWidth="1"/>
    <col min="14855" max="15104" width="9" style="107" customWidth="1"/>
    <col min="15105" max="15105" width="28.1296296296296" style="107" customWidth="1"/>
    <col min="15106" max="15106" width="10" style="107" customWidth="1"/>
    <col min="15107" max="15107" width="14.3333333333333" style="107" customWidth="1"/>
    <col min="15108" max="15108" width="8" style="107" customWidth="1"/>
    <col min="15109" max="15109" width="38" style="107" customWidth="1"/>
    <col min="15110" max="15110" width="48.1296296296296" style="107" customWidth="1"/>
    <col min="15111" max="15360" width="9" style="107" customWidth="1"/>
    <col min="15361" max="15361" width="28.1296296296296" style="107" customWidth="1"/>
    <col min="15362" max="15362" width="10" style="107" customWidth="1"/>
    <col min="15363" max="15363" width="14.3333333333333" style="107" customWidth="1"/>
    <col min="15364" max="15364" width="8" style="107" customWidth="1"/>
    <col min="15365" max="15365" width="38" style="107" customWidth="1"/>
    <col min="15366" max="15366" width="48.1296296296296" style="107" customWidth="1"/>
    <col min="15367" max="15616" width="9" style="107" customWidth="1"/>
    <col min="15617" max="15617" width="28.1296296296296" style="107" customWidth="1"/>
    <col min="15618" max="15618" width="10" style="107" customWidth="1"/>
    <col min="15619" max="15619" width="14.3333333333333" style="107" customWidth="1"/>
    <col min="15620" max="15620" width="8" style="107" customWidth="1"/>
    <col min="15621" max="15621" width="38" style="107" customWidth="1"/>
    <col min="15622" max="15622" width="48.1296296296296" style="107" customWidth="1"/>
    <col min="15623" max="15872" width="9" style="107" customWidth="1"/>
    <col min="15873" max="15873" width="28.1296296296296" style="107" customWidth="1"/>
    <col min="15874" max="15874" width="10" style="107" customWidth="1"/>
    <col min="15875" max="15875" width="14.3333333333333" style="107" customWidth="1"/>
    <col min="15876" max="15876" width="8" style="107" customWidth="1"/>
    <col min="15877" max="15877" width="38" style="107" customWidth="1"/>
    <col min="15878" max="15878" width="48.1296296296296" style="107" customWidth="1"/>
    <col min="15879" max="16128" width="9" style="107" customWidth="1"/>
    <col min="16129" max="16129" width="28.1296296296296" style="107" customWidth="1"/>
    <col min="16130" max="16130" width="10" style="107" customWidth="1"/>
    <col min="16131" max="16131" width="14.3333333333333" style="107" customWidth="1"/>
    <col min="16132" max="16132" width="8" style="107" customWidth="1"/>
    <col min="16133" max="16133" width="38" style="107" customWidth="1"/>
    <col min="16134" max="16134" width="48.1296296296296" style="107" customWidth="1"/>
    <col min="16135" max="16384" width="9" style="107" customWidth="1"/>
  </cols>
  <sheetData>
    <row r="2" s="103" customFormat="1" ht="75.75" customHeight="1" spans="1:6">
      <c r="A2" s="108"/>
      <c r="B2" s="109" t="s">
        <v>0</v>
      </c>
      <c r="C2" s="53"/>
      <c r="D2" s="53"/>
      <c r="E2" s="53"/>
      <c r="F2" s="46"/>
    </row>
    <row r="3" spans="1:5">
      <c r="A3" s="110"/>
      <c r="B3" s="111"/>
      <c r="E3" s="112"/>
    </row>
    <row r="4" ht="14.25" customHeight="1" spans="1:6">
      <c r="A4" s="113" t="s">
        <v>1</v>
      </c>
      <c r="B4" s="114" t="s">
        <v>2</v>
      </c>
      <c r="C4" s="53"/>
      <c r="D4" s="46"/>
      <c r="E4" s="113" t="s">
        <v>3</v>
      </c>
      <c r="F4" s="115" t="s">
        <v>4</v>
      </c>
    </row>
    <row r="5" ht="14.25" customHeight="1" spans="1:6">
      <c r="A5" s="113" t="s">
        <v>5</v>
      </c>
      <c r="B5" s="114" t="s">
        <v>6</v>
      </c>
      <c r="C5" s="53"/>
      <c r="D5" s="46"/>
      <c r="E5" s="113" t="s">
        <v>7</v>
      </c>
      <c r="F5" s="116" t="s">
        <v>8</v>
      </c>
    </row>
    <row r="6" ht="15.75" customHeight="1" spans="1:6">
      <c r="A6" s="117" t="s">
        <v>9</v>
      </c>
      <c r="B6" s="118" t="str">
        <f>B5&amp;"_"&amp;"XXX"&amp;"_"&amp;"vx.x"</f>
        <v>LMS_SWP391_XXX_vx.x</v>
      </c>
      <c r="C6" s="53"/>
      <c r="D6" s="46"/>
      <c r="E6" s="113" t="s">
        <v>10</v>
      </c>
      <c r="F6" s="119" t="s">
        <v>11</v>
      </c>
    </row>
    <row r="7" spans="1:6">
      <c r="A7" s="120"/>
      <c r="B7" s="121"/>
      <c r="E7" s="122"/>
      <c r="F7" s="111"/>
    </row>
    <row r="8" spans="1:1">
      <c r="A8" s="107"/>
    </row>
    <row r="9" spans="1:1">
      <c r="A9" s="123" t="s">
        <v>12</v>
      </c>
    </row>
    <row r="10" s="104" customFormat="1" spans="1:6">
      <c r="A10" s="124" t="s">
        <v>13</v>
      </c>
      <c r="B10" s="125" t="s">
        <v>10</v>
      </c>
      <c r="C10" s="125" t="s">
        <v>14</v>
      </c>
      <c r="D10" s="125" t="s">
        <v>15</v>
      </c>
      <c r="E10" s="125" t="s">
        <v>16</v>
      </c>
      <c r="F10" s="126" t="s">
        <v>17</v>
      </c>
    </row>
    <row r="11" s="105" customFormat="1" ht="26.25" customHeight="1" spans="1:6">
      <c r="A11" s="127" t="s">
        <v>8</v>
      </c>
      <c r="B11" s="128" t="s">
        <v>11</v>
      </c>
      <c r="C11" s="129" t="s">
        <v>18</v>
      </c>
      <c r="D11" s="129" t="s">
        <v>19</v>
      </c>
      <c r="E11" s="130" t="s">
        <v>20</v>
      </c>
      <c r="F11" s="131" t="s">
        <v>21</v>
      </c>
    </row>
    <row r="12" s="105" customFormat="1" ht="21.75" customHeight="1" spans="1:6">
      <c r="A12" s="132"/>
      <c r="B12" s="128"/>
      <c r="C12" s="129"/>
      <c r="D12" s="129"/>
      <c r="E12" s="129"/>
      <c r="F12" s="133"/>
    </row>
    <row r="13" s="105" customFormat="1" ht="19.5" customHeight="1" spans="1:6">
      <c r="A13" s="132"/>
      <c r="B13" s="128"/>
      <c r="C13" s="129"/>
      <c r="D13" s="129"/>
      <c r="E13" s="129"/>
      <c r="F13" s="133"/>
    </row>
    <row r="14" s="105" customFormat="1" ht="21.75" customHeight="1" spans="1:6">
      <c r="A14" s="132"/>
      <c r="B14" s="128"/>
      <c r="C14" s="129"/>
      <c r="D14" s="129"/>
      <c r="E14" s="129"/>
      <c r="F14" s="133"/>
    </row>
    <row r="15" s="105" customFormat="1" ht="19.5" customHeight="1" spans="1:6">
      <c r="A15" s="132"/>
      <c r="B15" s="128"/>
      <c r="C15" s="129"/>
      <c r="D15" s="129"/>
      <c r="E15" s="129"/>
      <c r="F15" s="133"/>
    </row>
    <row r="16" s="105" customFormat="1" ht="21.75" customHeight="1" spans="1:6">
      <c r="A16" s="132"/>
      <c r="B16" s="128"/>
      <c r="C16" s="129"/>
      <c r="D16" s="129"/>
      <c r="E16" s="129"/>
      <c r="F16" s="133"/>
    </row>
    <row r="17" s="105" customFormat="1" ht="19.5" customHeight="1" spans="1:6">
      <c r="A17" s="134"/>
      <c r="B17" s="135"/>
      <c r="C17" s="136"/>
      <c r="D17" s="136"/>
      <c r="E17" s="136"/>
      <c r="F17" s="137"/>
    </row>
  </sheetData>
  <mergeCells count="4">
    <mergeCell ref="B2:F2"/>
    <mergeCell ref="B4:D4"/>
    <mergeCell ref="B5:D5"/>
    <mergeCell ref="B6:D6"/>
  </mergeCells>
  <pageMargins left="0.470138888888889" right="0.470138888888889" top="0.5" bottom="0.351388888888889" header="0.511805555555556" footer="0.170138888888889"/>
  <pageSetup paperSize="9" firstPageNumber="0" orientation="landscape" useFirstPageNumber="1" horizontalDpi="300" verticalDpi="300"/>
  <headerFooter alignWithMargins="0">
    <oddFooter>&amp;L&amp;"Tahoma,Regular"&amp;8 02ae-BM/PM/HDCV/FSOFT v2/1&amp;C&amp;"Tahoma,Regular"&amp;8 Internal use&amp;R&amp;"tahomaTahoma,Regular"&amp;8 &amp;P/&amp;N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1"/>
  <sheetViews>
    <sheetView workbookViewId="0">
      <selection activeCell="I5" sqref="I5"/>
    </sheetView>
  </sheetViews>
  <sheetFormatPr defaultColWidth="9" defaultRowHeight="13.2" outlineLevelCol="5"/>
  <cols>
    <col min="1" max="1" width="1.33333333333333" style="3" customWidth="1"/>
    <col min="2" max="2" width="6.39814814814815" style="75" customWidth="1"/>
    <col min="3" max="3" width="26.462962962963" style="76" customWidth="1"/>
    <col min="4" max="4" width="19.8888888888889" style="76" customWidth="1"/>
    <col min="5" max="5" width="72.5555555555556" style="76" customWidth="1"/>
    <col min="6" max="6" width="30.6666666666667" style="76" customWidth="1"/>
    <col min="7" max="16384" width="9" style="3" customWidth="1"/>
  </cols>
  <sheetData>
    <row r="1" ht="24.6" customHeight="1" spans="2:5">
      <c r="B1" s="77"/>
      <c r="D1" s="78" t="s">
        <v>22</v>
      </c>
      <c r="E1" s="79"/>
    </row>
    <row r="2" ht="13.5" customHeight="1" spans="2:5">
      <c r="B2" s="77"/>
      <c r="D2" s="80"/>
      <c r="E2" s="80"/>
    </row>
    <row r="3" spans="2:6">
      <c r="B3" s="81" t="s">
        <v>1</v>
      </c>
      <c r="C3" s="53"/>
      <c r="D3" s="45" t="s">
        <v>2</v>
      </c>
      <c r="E3" s="53"/>
      <c r="F3" s="46"/>
    </row>
    <row r="4" spans="2:6">
      <c r="B4" s="81" t="s">
        <v>5</v>
      </c>
      <c r="C4" s="53"/>
      <c r="D4" s="45" t="s">
        <v>6</v>
      </c>
      <c r="E4" s="53"/>
      <c r="F4" s="46"/>
    </row>
    <row r="5" s="11" customFormat="1" ht="84.75" customHeight="1" spans="2:6">
      <c r="B5" s="82" t="s">
        <v>23</v>
      </c>
      <c r="C5" s="46"/>
      <c r="D5" s="83" t="s">
        <v>24</v>
      </c>
      <c r="E5" s="53"/>
      <c r="F5" s="46"/>
    </row>
    <row r="6" spans="2:6">
      <c r="B6" s="84"/>
      <c r="C6" s="3"/>
      <c r="D6" s="3"/>
      <c r="E6" s="3"/>
      <c r="F6" s="3"/>
    </row>
    <row r="7" s="73" customFormat="1" spans="2:6">
      <c r="B7" s="85"/>
      <c r="C7" s="86"/>
      <c r="D7" s="86"/>
      <c r="E7" s="86"/>
      <c r="F7" s="86"/>
    </row>
    <row r="8" s="74" customFormat="1" ht="21" customHeight="1" spans="2:6">
      <c r="B8" s="87" t="s">
        <v>25</v>
      </c>
      <c r="C8" s="88" t="s">
        <v>26</v>
      </c>
      <c r="D8" s="88" t="s">
        <v>27</v>
      </c>
      <c r="E8" s="89" t="s">
        <v>28</v>
      </c>
      <c r="F8" s="90" t="s">
        <v>29</v>
      </c>
    </row>
    <row r="9" spans="2:6">
      <c r="B9" s="91">
        <v>1</v>
      </c>
      <c r="C9" s="92" t="s">
        <v>30</v>
      </c>
      <c r="D9" s="93" t="s">
        <v>31</v>
      </c>
      <c r="E9" s="94" t="s">
        <v>32</v>
      </c>
      <c r="F9" s="95" t="s">
        <v>33</v>
      </c>
    </row>
    <row r="10" spans="2:6">
      <c r="B10" s="91">
        <v>2</v>
      </c>
      <c r="C10" s="92" t="s">
        <v>34</v>
      </c>
      <c r="D10" s="93" t="s">
        <v>35</v>
      </c>
      <c r="E10" s="94" t="s">
        <v>36</v>
      </c>
      <c r="F10" s="95" t="s">
        <v>33</v>
      </c>
    </row>
    <row r="11" spans="2:6">
      <c r="B11" s="91">
        <v>3</v>
      </c>
      <c r="C11" s="92" t="s">
        <v>37</v>
      </c>
      <c r="D11" s="93" t="s">
        <v>38</v>
      </c>
      <c r="E11" s="94" t="s">
        <v>39</v>
      </c>
      <c r="F11" s="95" t="s">
        <v>33</v>
      </c>
    </row>
    <row r="12" spans="2:6">
      <c r="B12" s="91">
        <v>4</v>
      </c>
      <c r="C12" s="92" t="s">
        <v>40</v>
      </c>
      <c r="D12" s="93" t="s">
        <v>41</v>
      </c>
      <c r="E12" s="94" t="s">
        <v>42</v>
      </c>
      <c r="F12" s="95" t="s">
        <v>33</v>
      </c>
    </row>
    <row r="13" spans="2:6">
      <c r="B13" s="91">
        <v>5</v>
      </c>
      <c r="C13" s="92" t="s">
        <v>43</v>
      </c>
      <c r="D13" s="93" t="s">
        <v>44</v>
      </c>
      <c r="E13" s="94" t="s">
        <v>45</v>
      </c>
      <c r="F13" s="95" t="s">
        <v>33</v>
      </c>
    </row>
    <row r="14" spans="2:6">
      <c r="B14" s="91">
        <v>6</v>
      </c>
      <c r="C14" s="92" t="s">
        <v>46</v>
      </c>
      <c r="D14" s="96" t="s">
        <v>47</v>
      </c>
      <c r="E14" s="97" t="s">
        <v>48</v>
      </c>
      <c r="F14" s="95" t="s">
        <v>33</v>
      </c>
    </row>
    <row r="15" spans="2:6">
      <c r="B15" s="91"/>
      <c r="C15" s="92"/>
      <c r="D15" s="98"/>
      <c r="E15" s="98"/>
      <c r="F15" s="95"/>
    </row>
    <row r="16" spans="2:6">
      <c r="B16" s="91"/>
      <c r="C16" s="92"/>
      <c r="D16" s="98"/>
      <c r="E16" s="98"/>
      <c r="F16" s="95"/>
    </row>
    <row r="17" spans="2:6">
      <c r="B17" s="91"/>
      <c r="C17" s="92"/>
      <c r="D17" s="98"/>
      <c r="E17" s="98"/>
      <c r="F17" s="95"/>
    </row>
    <row r="18" spans="2:6">
      <c r="B18" s="91"/>
      <c r="C18" s="92"/>
      <c r="D18" s="98"/>
      <c r="E18" s="98"/>
      <c r="F18" s="95"/>
    </row>
    <row r="19" spans="2:6">
      <c r="B19" s="91"/>
      <c r="C19" s="92"/>
      <c r="D19" s="98"/>
      <c r="E19" s="98"/>
      <c r="F19" s="95"/>
    </row>
    <row r="20" spans="2:6">
      <c r="B20" s="91"/>
      <c r="C20" s="92"/>
      <c r="D20" s="98"/>
      <c r="E20" s="98"/>
      <c r="F20" s="95"/>
    </row>
    <row r="21" spans="2:6">
      <c r="B21" s="99"/>
      <c r="C21" s="100"/>
      <c r="D21" s="101"/>
      <c r="E21" s="101"/>
      <c r="F21" s="102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TSAuthentication!A1" display="TSAuthentication"/>
    <hyperlink ref="D10" location="TSUserManagement!A1" display="TSUserManagement"/>
    <hyperlink ref="D11" location="TSBookManagement!A1" display="TSBookManagement"/>
    <hyperlink ref="D12" location="TSDeskCirculation!A1" display="TSDeskCirculation"/>
    <hyperlink ref="D13" location="TSBookDiscovery!A1" display="TSBookDiscovery"/>
    <hyperlink ref="D14" location="TSSelfService!A1" display="TSSelfService"/>
  </hyperlinks>
  <pageMargins left="0.747916666666667" right="0.747916666666667" top="0.984027777777778" bottom="1.15069444444444" header="0.511805555555556" footer="0.984027777777778"/>
  <pageSetup paperSize="9" firstPageNumber="0" orientation="landscape" useFirstPageNumber="1" horizontalDpi="300" verticalDpi="300"/>
  <headerFooter alignWithMargins="0">
    <oddFooter>&amp;L&amp;"Tahoma,Regular"&amp;8 02ae-BM/PM/HDCV/FSOFT v2/0&amp;C&amp;"tahoma,Regular"&amp;8 Internal use&amp;R&amp;"tahoma,Regular"&amp;8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I13" sqref="I13"/>
    </sheetView>
  </sheetViews>
  <sheetFormatPr defaultColWidth="9" defaultRowHeight="13.2" outlineLevelCol="7"/>
  <cols>
    <col min="1" max="1" width="4.46296296296296" style="3" customWidth="1"/>
    <col min="2" max="2" width="18.3333333333333" style="3" customWidth="1"/>
    <col min="3" max="3" width="19.3333333333333" style="3" customWidth="1"/>
    <col min="4" max="6" width="11.6666666666667" style="3" customWidth="1"/>
    <col min="7" max="7" width="9" style="3" customWidth="1"/>
    <col min="8" max="8" width="35.462962962963" style="3" customWidth="1"/>
    <col min="9" max="9" width="33.1296296296296" style="3" customWidth="1"/>
    <col min="10" max="16384" width="9" style="3" customWidth="1"/>
  </cols>
  <sheetData>
    <row r="1" ht="25.5" customHeight="1" spans="2:2">
      <c r="B1" s="40" t="s">
        <v>49</v>
      </c>
    </row>
    <row r="2" ht="14.25" customHeight="1" spans="1:8">
      <c r="A2" s="41"/>
      <c r="B2" s="41"/>
      <c r="C2" s="42"/>
      <c r="D2" s="42"/>
      <c r="E2" s="42"/>
      <c r="F2" s="42"/>
      <c r="G2" s="42"/>
      <c r="H2" s="43"/>
    </row>
    <row r="3" ht="12" customHeight="1" spans="2:8">
      <c r="B3" s="44" t="s">
        <v>1</v>
      </c>
      <c r="C3" s="45" t="s">
        <v>2</v>
      </c>
      <c r="D3" s="46"/>
      <c r="E3" s="47" t="s">
        <v>3</v>
      </c>
      <c r="F3" s="46"/>
      <c r="G3" s="48" t="s">
        <v>4</v>
      </c>
      <c r="H3" s="49"/>
    </row>
    <row r="4" ht="12" customHeight="1" spans="2:8">
      <c r="B4" s="44" t="s">
        <v>5</v>
      </c>
      <c r="C4" s="45" t="s">
        <v>6</v>
      </c>
      <c r="D4" s="46"/>
      <c r="E4" s="47" t="s">
        <v>50</v>
      </c>
      <c r="F4" s="46"/>
      <c r="G4" s="48" t="s">
        <v>51</v>
      </c>
      <c r="H4" s="49"/>
    </row>
    <row r="5" ht="12" customHeight="1" spans="2:8">
      <c r="B5" s="50" t="s">
        <v>9</v>
      </c>
      <c r="C5" s="45" t="str">
        <f>C4&amp;"_Test_Report_v1.3.0"</f>
        <v>LMS_SWP391_Test_Report_v1.3.0</v>
      </c>
      <c r="D5" s="46"/>
      <c r="E5" s="47" t="s">
        <v>7</v>
      </c>
      <c r="F5" s="46"/>
      <c r="G5" s="48"/>
      <c r="H5" s="51" t="s">
        <v>8</v>
      </c>
    </row>
    <row r="6" ht="21.75" customHeight="1" spans="1:8">
      <c r="A6" s="41"/>
      <c r="B6" s="50" t="s">
        <v>52</v>
      </c>
      <c r="C6" s="52" t="s">
        <v>53</v>
      </c>
      <c r="D6" s="53"/>
      <c r="E6" s="53"/>
      <c r="F6" s="53"/>
      <c r="G6" s="53"/>
      <c r="H6" s="46"/>
    </row>
    <row r="7" ht="14.25" customHeight="1" spans="1:8">
      <c r="A7" s="41"/>
      <c r="B7" s="54"/>
      <c r="C7" s="55"/>
      <c r="D7" s="42"/>
      <c r="E7" s="42"/>
      <c r="F7" s="42"/>
      <c r="G7" s="42"/>
      <c r="H7" s="43"/>
    </row>
    <row r="8" spans="2:8">
      <c r="B8" s="54"/>
      <c r="C8" s="55"/>
      <c r="D8" s="42"/>
      <c r="E8" s="42"/>
      <c r="F8" s="42"/>
      <c r="G8" s="42"/>
      <c r="H8" s="43"/>
    </row>
    <row r="10" spans="2:8">
      <c r="B10" s="56" t="s">
        <v>25</v>
      </c>
      <c r="C10" s="56" t="s">
        <v>54</v>
      </c>
      <c r="D10" s="57" t="s">
        <v>55</v>
      </c>
      <c r="E10" s="56" t="s">
        <v>56</v>
      </c>
      <c r="F10" s="56" t="s">
        <v>57</v>
      </c>
      <c r="G10" s="56" t="s">
        <v>58</v>
      </c>
      <c r="H10" s="57" t="s">
        <v>59</v>
      </c>
    </row>
    <row r="11" spans="2:8">
      <c r="B11" s="58">
        <v>1</v>
      </c>
      <c r="C11" s="59" t="str">
        <f>TSAuthentication!B2</f>
        <v>TSAuthentication</v>
      </c>
      <c r="D11" s="58">
        <f>TSAuthentication!B6</f>
        <v>12</v>
      </c>
      <c r="E11" s="58">
        <f>TSAuthentication!C6</f>
        <v>0</v>
      </c>
      <c r="F11" s="58">
        <f>TSAuthentication!D6</f>
        <v>0</v>
      </c>
      <c r="G11" s="58">
        <f>TSAuthentication!E6</f>
        <v>0</v>
      </c>
      <c r="H11" s="58">
        <f>TSAuthentication!B4</f>
        <v>12</v>
      </c>
    </row>
    <row r="12" spans="2:8">
      <c r="B12" s="58">
        <v>2</v>
      </c>
      <c r="C12" s="59" t="str">
        <f>TSUserManagement!B2</f>
        <v>TSUserManagement</v>
      </c>
      <c r="D12" s="58">
        <f>TSUserManagement!B6</f>
        <v>10</v>
      </c>
      <c r="E12" s="58">
        <f>TSUserManagement!C6</f>
        <v>0</v>
      </c>
      <c r="F12" s="58">
        <f>TSUserManagement!D6</f>
        <v>0</v>
      </c>
      <c r="G12" s="58">
        <f>TSUserManagement!E6</f>
        <v>0</v>
      </c>
      <c r="H12" s="58">
        <f>TSUserManagement!B4</f>
        <v>10</v>
      </c>
    </row>
    <row r="13" spans="2:8">
      <c r="B13" s="58">
        <v>3</v>
      </c>
      <c r="C13" s="59" t="str">
        <f>TSBookManagement!B2</f>
        <v>TSBookManagement</v>
      </c>
      <c r="D13" s="58">
        <f>TSBookManagement!B6</f>
        <v>9</v>
      </c>
      <c r="E13" s="58">
        <f>TSBookManagement!C6</f>
        <v>0</v>
      </c>
      <c r="F13" s="58">
        <f>TSBookManagement!D6</f>
        <v>0</v>
      </c>
      <c r="G13" s="58">
        <f>TSBookManagement!E6</f>
        <v>0</v>
      </c>
      <c r="H13" s="58">
        <f>TSBookManagement!B4</f>
        <v>9</v>
      </c>
    </row>
    <row r="14" spans="2:8">
      <c r="B14" s="58">
        <v>4</v>
      </c>
      <c r="C14" s="59" t="str">
        <f>TSDeskCirculation!B2</f>
        <v>TSDeskCirculation</v>
      </c>
      <c r="D14" s="58">
        <f>TSDeskCirculation!B6</f>
        <v>23</v>
      </c>
      <c r="E14" s="58">
        <f>TSDeskCirculation!C6</f>
        <v>0</v>
      </c>
      <c r="F14" s="58">
        <f>TSDeskCirculation!D6</f>
        <v>0</v>
      </c>
      <c r="G14" s="58">
        <f>TSDeskCirculation!E6</f>
        <v>0</v>
      </c>
      <c r="H14" s="58">
        <f>TSDeskCirculation!B4</f>
        <v>23</v>
      </c>
    </row>
    <row r="15" spans="2:8">
      <c r="B15" s="58">
        <v>5</v>
      </c>
      <c r="C15" s="59" t="str">
        <f>TSBookDiscovery!B2</f>
        <v>TSBookDiscovery</v>
      </c>
      <c r="D15" s="58">
        <f>TSBookDiscovery!B6</f>
        <v>14</v>
      </c>
      <c r="E15" s="58">
        <f>TSBookDiscovery!C6</f>
        <v>0</v>
      </c>
      <c r="F15" s="58">
        <f>TSBookDiscovery!D6</f>
        <v>0</v>
      </c>
      <c r="G15" s="58">
        <f>TSBookDiscovery!E6</f>
        <v>0</v>
      </c>
      <c r="H15" s="58">
        <f>TSBookDiscovery!B4</f>
        <v>14</v>
      </c>
    </row>
    <row r="16" spans="2:8">
      <c r="B16" s="58">
        <v>6</v>
      </c>
      <c r="C16" s="59" t="str">
        <f>TSSelfService!B2</f>
        <v>TSSelfService</v>
      </c>
      <c r="D16" s="58">
        <f>TSSelfService!B6</f>
        <v>13</v>
      </c>
      <c r="E16" s="58">
        <f>TSSelfService!C6</f>
        <v>0</v>
      </c>
      <c r="F16" s="58">
        <f>TSSelfService!D6</f>
        <v>0</v>
      </c>
      <c r="G16" s="58">
        <f>TSSelfService!E6</f>
        <v>0</v>
      </c>
      <c r="H16" s="58">
        <f>TSSelfService!B4</f>
        <v>13</v>
      </c>
    </row>
    <row r="17" spans="2:8">
      <c r="B17" s="60"/>
      <c r="C17" s="61" t="s">
        <v>60</v>
      </c>
      <c r="D17" s="62">
        <f>SUM(D11:D16)</f>
        <v>81</v>
      </c>
      <c r="E17" s="62">
        <f>SUM(E11:E16)</f>
        <v>0</v>
      </c>
      <c r="F17" s="62">
        <f>SUM(F11:F16)</f>
        <v>0</v>
      </c>
      <c r="G17" s="62">
        <f>SUM(G11:G16)</f>
        <v>0</v>
      </c>
      <c r="H17" s="62">
        <f>SUM(H11:H16)</f>
        <v>81</v>
      </c>
    </row>
    <row r="18" spans="2:8">
      <c r="B18" s="63"/>
      <c r="C18" s="64"/>
      <c r="D18" s="63"/>
      <c r="E18" s="63"/>
      <c r="F18" s="63"/>
      <c r="G18" s="63"/>
      <c r="H18" s="63"/>
    </row>
    <row r="19" spans="2:8">
      <c r="B19" s="65"/>
      <c r="C19" s="66" t="s">
        <v>61</v>
      </c>
      <c r="D19" s="67"/>
      <c r="E19" s="68">
        <f>IF((H17-G17)=0,0,(D17+E17)*100/(H17-G17))/100</f>
        <v>1</v>
      </c>
      <c r="F19" s="69"/>
      <c r="G19" s="69"/>
      <c r="H19" s="69"/>
    </row>
    <row r="20" spans="3:8">
      <c r="C20" s="70" t="s">
        <v>62</v>
      </c>
      <c r="E20" s="71">
        <f>IF((H17-G17)=0,0,D17*100/(H17-G17))/100</f>
        <v>1</v>
      </c>
      <c r="H20" s="27"/>
    </row>
    <row r="21" spans="3:8">
      <c r="C21" s="70"/>
      <c r="E21" s="72"/>
      <c r="H21" s="27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47916666666667" right="0.747916666666667" top="0.984027777777778" bottom="0.984027777777778" header="0.511805555555556" footer="0.5"/>
  <pageSetup paperSize="1" firstPageNumber="0" orientation="landscape" useFirstPageNumber="1" horizontalDpi="300" verticalDpi="300"/>
  <headerFooter alignWithMargins="0"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2"/>
  <sheetViews>
    <sheetView workbookViewId="0">
      <selection activeCell="B8" sqref="B8"/>
    </sheetView>
  </sheetViews>
  <sheetFormatPr defaultColWidth="9" defaultRowHeight="13.2"/>
  <cols>
    <col min="1" max="1" width="17" style="3" customWidth="1"/>
    <col min="2" max="2" width="67" style="3" customWidth="1"/>
    <col min="3" max="3" width="26.6666666666667" style="3" customWidth="1"/>
    <col min="4" max="4" width="84.5555555555556" style="3" customWidth="1"/>
    <col min="5" max="5" width="29.6666666666667" style="3" customWidth="1"/>
    <col min="6" max="6" width="8.77777777777778" style="3" customWidth="1"/>
    <col min="7" max="7" width="10.1111111111111" style="3" customWidth="1" outlineLevel="1"/>
    <col min="8" max="8" width="15.1111111111111" style="3" customWidth="1" outlineLevel="1"/>
    <col min="9" max="9" width="8.77777777777778" style="3" customWidth="1"/>
    <col min="10" max="10" width="10.1111111111111" style="3" customWidth="1" outlineLevel="1"/>
    <col min="11" max="11" width="15.1111111111111" style="3" customWidth="1" outlineLevel="1"/>
    <col min="12" max="12" width="8.77777777777778" style="3" customWidth="1"/>
    <col min="13" max="13" width="10.1111111111111" style="3" customWidth="1" outlineLevel="1"/>
    <col min="14" max="14" width="15.1111111111111" style="3" customWidth="1" outlineLevel="1"/>
    <col min="15" max="15" width="28.7777777777778" style="3" customWidth="1"/>
    <col min="16" max="16" width="10.1296296296296" style="3" customWidth="1"/>
    <col min="17" max="17" width="8.12962962962963" style="4" customWidth="1"/>
    <col min="18" max="18" width="7.66666666666667" style="3" hidden="1" customWidth="1"/>
    <col min="19" max="16384" width="9" style="3" customWidth="1"/>
  </cols>
  <sheetData>
    <row r="1" ht="13.95" customHeight="1"/>
    <row r="2" s="1" customFormat="1" ht="15" customHeight="1" spans="1:18">
      <c r="A2" s="5" t="s">
        <v>63</v>
      </c>
      <c r="B2" s="6" t="s">
        <v>31</v>
      </c>
      <c r="C2" s="7"/>
      <c r="D2" s="7"/>
      <c r="E2" s="8"/>
      <c r="F2" s="9"/>
      <c r="G2" s="10"/>
      <c r="H2" s="11"/>
      <c r="I2" s="9"/>
      <c r="J2" s="10"/>
      <c r="K2" s="11"/>
      <c r="L2" s="9"/>
      <c r="M2" s="10"/>
      <c r="N2" s="11"/>
      <c r="O2" s="11"/>
      <c r="P2" s="11"/>
      <c r="Q2" s="35"/>
      <c r="R2" s="1" t="s">
        <v>55</v>
      </c>
    </row>
    <row r="3" s="1" customFormat="1" spans="1:18">
      <c r="A3" s="12" t="s">
        <v>64</v>
      </c>
      <c r="B3" s="13" t="s">
        <v>32</v>
      </c>
      <c r="C3" s="14"/>
      <c r="D3" s="14"/>
      <c r="E3" s="15"/>
      <c r="F3" s="9"/>
      <c r="G3" s="10"/>
      <c r="H3" s="11"/>
      <c r="I3" s="9"/>
      <c r="J3" s="10"/>
      <c r="K3" s="11"/>
      <c r="L3" s="9"/>
      <c r="M3" s="10"/>
      <c r="N3" s="11"/>
      <c r="O3" s="11"/>
      <c r="P3" s="11"/>
      <c r="Q3" s="35"/>
      <c r="R3" s="1" t="s">
        <v>56</v>
      </c>
    </row>
    <row r="4" s="1" customFormat="1" ht="18" customHeight="1" spans="1:18">
      <c r="A4" s="12" t="s">
        <v>65</v>
      </c>
      <c r="B4" s="13">
        <f>COUNTA(A11:A22)</f>
        <v>12</v>
      </c>
      <c r="C4" s="14"/>
      <c r="D4" s="14"/>
      <c r="E4" s="15"/>
      <c r="F4" s="9"/>
      <c r="G4" s="10"/>
      <c r="H4" s="11"/>
      <c r="I4" s="9"/>
      <c r="J4" s="10"/>
      <c r="K4" s="11"/>
      <c r="L4" s="9"/>
      <c r="M4" s="10"/>
      <c r="N4" s="11"/>
      <c r="O4" s="11"/>
      <c r="P4" s="11"/>
      <c r="Q4" s="35"/>
      <c r="R4" s="1" t="s">
        <v>57</v>
      </c>
    </row>
    <row r="5" s="1" customFormat="1" ht="19.5" customHeight="1" spans="1:18">
      <c r="A5" s="16" t="s">
        <v>66</v>
      </c>
      <c r="B5" s="17" t="s">
        <v>55</v>
      </c>
      <c r="C5" s="17" t="s">
        <v>56</v>
      </c>
      <c r="D5" s="17" t="s">
        <v>57</v>
      </c>
      <c r="E5" s="18" t="s">
        <v>58</v>
      </c>
      <c r="F5" s="19"/>
      <c r="G5" s="19"/>
      <c r="H5" s="20"/>
      <c r="I5" s="19"/>
      <c r="J5" s="19"/>
      <c r="K5" s="20"/>
      <c r="L5" s="19"/>
      <c r="M5" s="19"/>
      <c r="N5" s="20"/>
      <c r="O5" s="20"/>
      <c r="P5" s="20"/>
      <c r="Q5" s="36"/>
      <c r="R5" s="1" t="s">
        <v>58</v>
      </c>
    </row>
    <row r="6" s="1" customFormat="1" ht="15" customHeight="1" spans="1:17">
      <c r="A6" s="16" t="s">
        <v>67</v>
      </c>
      <c r="B6" s="21">
        <f>COUNTIF($F11:$F22,"Passed")</f>
        <v>12</v>
      </c>
      <c r="C6" s="21">
        <f>COUNTIF($F11:$F22,"Failed")</f>
        <v>0</v>
      </c>
      <c r="D6" s="21">
        <f>COUNTIF($F11:$F22,"Pending")</f>
        <v>0</v>
      </c>
      <c r="E6" s="22">
        <f>COUNTIF($F11:$F22,"N/A")</f>
        <v>0</v>
      </c>
      <c r="F6" s="23"/>
      <c r="G6" s="23"/>
      <c r="H6" s="20"/>
      <c r="I6" s="23"/>
      <c r="J6" s="23"/>
      <c r="K6" s="20"/>
      <c r="L6" s="23"/>
      <c r="M6" s="23"/>
      <c r="N6" s="20"/>
      <c r="O6" s="20"/>
      <c r="P6" s="20"/>
      <c r="Q6" s="36"/>
    </row>
    <row r="7" s="1" customFormat="1" ht="15" customHeight="1" spans="1:17">
      <c r="A7" s="16" t="s">
        <v>68</v>
      </c>
      <c r="B7" s="21">
        <f>COUNTIF($F11:$F22,"Passed")</f>
        <v>12</v>
      </c>
      <c r="C7" s="21">
        <f>COUNTIF($F11:$F22,"Failed")</f>
        <v>0</v>
      </c>
      <c r="D7" s="21">
        <f>COUNTIF($F11:$F22,"Pending")</f>
        <v>0</v>
      </c>
      <c r="E7" s="22">
        <f>COUNTIF($F11:$F22,"N/A")</f>
        <v>0</v>
      </c>
      <c r="F7" s="23"/>
      <c r="G7" s="23"/>
      <c r="H7" s="20"/>
      <c r="I7" s="23"/>
      <c r="J7" s="23"/>
      <c r="K7" s="20"/>
      <c r="L7" s="23"/>
      <c r="M7" s="23"/>
      <c r="N7" s="20"/>
      <c r="O7" s="20"/>
      <c r="P7" s="20"/>
      <c r="Q7" s="36"/>
    </row>
    <row r="8" s="1" customFormat="1" ht="15" customHeight="1" spans="1:17">
      <c r="A8" s="24" t="s">
        <v>69</v>
      </c>
      <c r="B8" s="25">
        <f>COUNTIF($F11:$F22,"Passed")</f>
        <v>12</v>
      </c>
      <c r="C8" s="25">
        <f>COUNTIF($F11:$F22,"Failed")</f>
        <v>0</v>
      </c>
      <c r="D8" s="25">
        <f>COUNTIF($F11:$F22,"Pending")</f>
        <v>0</v>
      </c>
      <c r="E8" s="26">
        <f>COUNTIF($F11:$F22,"N/A")</f>
        <v>0</v>
      </c>
      <c r="F8" s="23"/>
      <c r="G8" s="23"/>
      <c r="H8" s="20"/>
      <c r="I8" s="23"/>
      <c r="J8" s="23"/>
      <c r="K8" s="20"/>
      <c r="L8" s="23"/>
      <c r="M8" s="23"/>
      <c r="N8" s="20"/>
      <c r="O8" s="20"/>
      <c r="P8" s="20"/>
      <c r="Q8" s="36"/>
    </row>
    <row r="9" s="1" customFormat="1" ht="15" customHeight="1" spans="1:17">
      <c r="A9" s="20"/>
      <c r="B9" s="20"/>
      <c r="C9" s="20"/>
      <c r="D9" s="20"/>
      <c r="E9" s="20"/>
      <c r="F9" s="27"/>
      <c r="G9" s="20"/>
      <c r="H9" s="20"/>
      <c r="I9" s="27"/>
      <c r="J9" s="20"/>
      <c r="K9" s="20"/>
      <c r="L9" s="27"/>
      <c r="M9" s="20"/>
      <c r="N9" s="20"/>
      <c r="O9" s="20"/>
      <c r="P9" s="20"/>
      <c r="Q9" s="36"/>
    </row>
    <row r="10" s="1" customFormat="1" ht="25.5" customHeight="1" spans="1:17">
      <c r="A10" s="28" t="s">
        <v>70</v>
      </c>
      <c r="B10" s="28" t="s">
        <v>71</v>
      </c>
      <c r="C10" s="28" t="s">
        <v>72</v>
      </c>
      <c r="D10" s="28" t="s">
        <v>73</v>
      </c>
      <c r="E10" s="28" t="s">
        <v>74</v>
      </c>
      <c r="F10" s="28" t="s">
        <v>67</v>
      </c>
      <c r="G10" s="28" t="s">
        <v>75</v>
      </c>
      <c r="H10" s="28" t="s">
        <v>76</v>
      </c>
      <c r="I10" s="28" t="s">
        <v>68</v>
      </c>
      <c r="J10" s="28" t="s">
        <v>75</v>
      </c>
      <c r="K10" s="28" t="s">
        <v>76</v>
      </c>
      <c r="L10" s="28" t="s">
        <v>69</v>
      </c>
      <c r="M10" s="28" t="s">
        <v>75</v>
      </c>
      <c r="N10" s="28" t="s">
        <v>76</v>
      </c>
      <c r="O10" s="28" t="s">
        <v>77</v>
      </c>
      <c r="Q10" s="37"/>
    </row>
    <row r="11" s="1" customFormat="1" ht="15.75" customHeight="1" spans="1:17">
      <c r="A11" s="29" t="s">
        <v>78</v>
      </c>
      <c r="B11" s="29" t="s">
        <v>79</v>
      </c>
      <c r="C11" s="29" t="s">
        <v>80</v>
      </c>
      <c r="D11" s="29" t="s">
        <v>81</v>
      </c>
      <c r="E11" s="29" t="s">
        <v>33</v>
      </c>
      <c r="F11" s="30" t="s">
        <v>55</v>
      </c>
      <c r="G11" s="29" t="s">
        <v>8</v>
      </c>
      <c r="H11" s="29" t="s">
        <v>82</v>
      </c>
      <c r="I11" s="30" t="s">
        <v>55</v>
      </c>
      <c r="J11" s="29" t="s">
        <v>8</v>
      </c>
      <c r="K11" s="29" t="s">
        <v>82</v>
      </c>
      <c r="L11" s="30" t="s">
        <v>55</v>
      </c>
      <c r="M11" s="29" t="s">
        <v>8</v>
      </c>
      <c r="N11" s="29" t="s">
        <v>82</v>
      </c>
      <c r="O11" s="29" t="s">
        <v>83</v>
      </c>
      <c r="Q11" s="38"/>
    </row>
    <row r="12" s="2" customFormat="1" ht="121.05" customHeight="1" outlineLevel="1" spans="1:17">
      <c r="A12" s="31" t="s">
        <v>84</v>
      </c>
      <c r="B12" s="31" t="s">
        <v>79</v>
      </c>
      <c r="C12" s="31" t="s">
        <v>85</v>
      </c>
      <c r="D12" s="32" t="s">
        <v>86</v>
      </c>
      <c r="E12" s="32" t="s">
        <v>33</v>
      </c>
      <c r="F12" s="30" t="s">
        <v>55</v>
      </c>
      <c r="G12" s="31" t="s">
        <v>8</v>
      </c>
      <c r="H12" s="31" t="s">
        <v>82</v>
      </c>
      <c r="I12" s="30" t="s">
        <v>55</v>
      </c>
      <c r="J12" s="31" t="s">
        <v>8</v>
      </c>
      <c r="K12" s="31" t="s">
        <v>82</v>
      </c>
      <c r="L12" s="30" t="s">
        <v>55</v>
      </c>
      <c r="M12" s="31" t="s">
        <v>8</v>
      </c>
      <c r="N12" s="31" t="s">
        <v>82</v>
      </c>
      <c r="O12" s="32" t="s">
        <v>83</v>
      </c>
      <c r="Q12" s="39"/>
    </row>
    <row r="13" ht="39.6" outlineLevel="1" spans="1:17">
      <c r="A13" s="31" t="s">
        <v>87</v>
      </c>
      <c r="B13" s="31" t="s">
        <v>79</v>
      </c>
      <c r="C13" s="31" t="s">
        <v>88</v>
      </c>
      <c r="D13" s="32" t="s">
        <v>89</v>
      </c>
      <c r="E13" s="32" t="s">
        <v>33</v>
      </c>
      <c r="F13" s="30" t="s">
        <v>55</v>
      </c>
      <c r="G13" s="31" t="s">
        <v>8</v>
      </c>
      <c r="H13" s="31" t="s">
        <v>82</v>
      </c>
      <c r="I13" s="30" t="s">
        <v>55</v>
      </c>
      <c r="J13" s="31" t="s">
        <v>8</v>
      </c>
      <c r="K13" s="31" t="s">
        <v>82</v>
      </c>
      <c r="L13" s="30" t="s">
        <v>55</v>
      </c>
      <c r="M13" s="31" t="s">
        <v>8</v>
      </c>
      <c r="N13" s="31" t="s">
        <v>82</v>
      </c>
      <c r="O13" s="32" t="s">
        <v>83</v>
      </c>
      <c r="Q13" s="39"/>
    </row>
    <row r="14" ht="39.6" outlineLevel="1" spans="1:17">
      <c r="A14" s="31" t="s">
        <v>90</v>
      </c>
      <c r="B14" s="31" t="s">
        <v>79</v>
      </c>
      <c r="C14" s="31" t="s">
        <v>91</v>
      </c>
      <c r="D14" s="32" t="s">
        <v>92</v>
      </c>
      <c r="E14" s="32" t="s">
        <v>33</v>
      </c>
      <c r="F14" s="30" t="s">
        <v>55</v>
      </c>
      <c r="G14" s="31" t="s">
        <v>8</v>
      </c>
      <c r="H14" s="31" t="s">
        <v>82</v>
      </c>
      <c r="I14" s="30" t="s">
        <v>55</v>
      </c>
      <c r="J14" s="31" t="s">
        <v>8</v>
      </c>
      <c r="K14" s="31" t="s">
        <v>82</v>
      </c>
      <c r="L14" s="30" t="s">
        <v>55</v>
      </c>
      <c r="M14" s="31" t="s">
        <v>8</v>
      </c>
      <c r="N14" s="31" t="s">
        <v>82</v>
      </c>
      <c r="O14" s="32" t="s">
        <v>83</v>
      </c>
      <c r="Q14" s="39"/>
    </row>
    <row r="15" s="1" customFormat="1" ht="15.75" customHeight="1" spans="1:17">
      <c r="A15" s="29" t="s">
        <v>93</v>
      </c>
      <c r="B15" s="29" t="s">
        <v>79</v>
      </c>
      <c r="C15" s="29" t="s">
        <v>94</v>
      </c>
      <c r="D15" s="29" t="s">
        <v>95</v>
      </c>
      <c r="E15" s="29" t="s">
        <v>33</v>
      </c>
      <c r="F15" s="30" t="s">
        <v>55</v>
      </c>
      <c r="G15" s="29" t="s">
        <v>8</v>
      </c>
      <c r="H15" s="29" t="s">
        <v>82</v>
      </c>
      <c r="I15" s="30" t="s">
        <v>55</v>
      </c>
      <c r="J15" s="29" t="s">
        <v>8</v>
      </c>
      <c r="K15" s="29" t="s">
        <v>82</v>
      </c>
      <c r="L15" s="30" t="s">
        <v>55</v>
      </c>
      <c r="M15" s="29" t="s">
        <v>8</v>
      </c>
      <c r="N15" s="29" t="s">
        <v>82</v>
      </c>
      <c r="O15" s="29" t="s">
        <v>83</v>
      </c>
      <c r="Q15" s="38"/>
    </row>
    <row r="16" ht="39.6" outlineLevel="1" spans="1:17">
      <c r="A16" s="31" t="s">
        <v>96</v>
      </c>
      <c r="B16" s="31" t="s">
        <v>79</v>
      </c>
      <c r="C16" s="31" t="s">
        <v>97</v>
      </c>
      <c r="D16" s="31" t="s">
        <v>98</v>
      </c>
      <c r="E16" s="31" t="s">
        <v>33</v>
      </c>
      <c r="F16" s="30" t="s">
        <v>55</v>
      </c>
      <c r="G16" s="31" t="s">
        <v>8</v>
      </c>
      <c r="H16" s="31" t="s">
        <v>82</v>
      </c>
      <c r="I16" s="30" t="s">
        <v>55</v>
      </c>
      <c r="J16" s="31" t="s">
        <v>8</v>
      </c>
      <c r="K16" s="31" t="s">
        <v>82</v>
      </c>
      <c r="L16" s="30" t="s">
        <v>55</v>
      </c>
      <c r="M16" s="31" t="s">
        <v>8</v>
      </c>
      <c r="N16" s="31" t="s">
        <v>82</v>
      </c>
      <c r="O16" s="32" t="s">
        <v>99</v>
      </c>
      <c r="Q16" s="39"/>
    </row>
    <row r="17" ht="39.6" outlineLevel="1" spans="1:15">
      <c r="A17" s="31" t="s">
        <v>100</v>
      </c>
      <c r="B17" s="31" t="s">
        <v>79</v>
      </c>
      <c r="C17" s="31" t="s">
        <v>101</v>
      </c>
      <c r="D17" s="31" t="s">
        <v>98</v>
      </c>
      <c r="E17" s="31" t="s">
        <v>33</v>
      </c>
      <c r="F17" s="30" t="s">
        <v>55</v>
      </c>
      <c r="G17" s="32" t="s">
        <v>8</v>
      </c>
      <c r="H17" s="32" t="s">
        <v>82</v>
      </c>
      <c r="I17" s="30" t="s">
        <v>55</v>
      </c>
      <c r="J17" s="32" t="s">
        <v>8</v>
      </c>
      <c r="K17" s="32" t="s">
        <v>82</v>
      </c>
      <c r="L17" s="30" t="s">
        <v>55</v>
      </c>
      <c r="M17" s="32" t="s">
        <v>8</v>
      </c>
      <c r="N17" s="32" t="s">
        <v>82</v>
      </c>
      <c r="O17" s="32" t="s">
        <v>99</v>
      </c>
    </row>
    <row r="18" s="1" customFormat="1" ht="15.75" customHeight="1" spans="1:17">
      <c r="A18" s="29" t="s">
        <v>102</v>
      </c>
      <c r="B18" s="29" t="s">
        <v>79</v>
      </c>
      <c r="C18" s="29" t="s">
        <v>103</v>
      </c>
      <c r="D18" s="29" t="s">
        <v>98</v>
      </c>
      <c r="E18" s="29" t="s">
        <v>33</v>
      </c>
      <c r="F18" s="30" t="s">
        <v>55</v>
      </c>
      <c r="G18" s="29" t="s">
        <v>8</v>
      </c>
      <c r="H18" s="29" t="s">
        <v>82</v>
      </c>
      <c r="I18" s="30" t="s">
        <v>55</v>
      </c>
      <c r="J18" s="29" t="s">
        <v>8</v>
      </c>
      <c r="K18" s="29" t="s">
        <v>82</v>
      </c>
      <c r="L18" s="30" t="s">
        <v>55</v>
      </c>
      <c r="M18" s="29" t="s">
        <v>8</v>
      </c>
      <c r="N18" s="29" t="s">
        <v>82</v>
      </c>
      <c r="O18" s="29" t="s">
        <v>99</v>
      </c>
      <c r="Q18" s="38"/>
    </row>
    <row r="19" ht="39.6" outlineLevel="1" spans="1:17">
      <c r="A19" s="31" t="s">
        <v>104</v>
      </c>
      <c r="B19" s="31" t="s">
        <v>105</v>
      </c>
      <c r="C19" s="31" t="s">
        <v>106</v>
      </c>
      <c r="D19" s="31" t="s">
        <v>107</v>
      </c>
      <c r="E19" s="31" t="s">
        <v>33</v>
      </c>
      <c r="F19" s="30" t="s">
        <v>55</v>
      </c>
      <c r="G19" s="31" t="s">
        <v>8</v>
      </c>
      <c r="H19" s="31" t="s">
        <v>82</v>
      </c>
      <c r="I19" s="30" t="s">
        <v>55</v>
      </c>
      <c r="J19" s="31" t="s">
        <v>8</v>
      </c>
      <c r="K19" s="31" t="s">
        <v>82</v>
      </c>
      <c r="L19" s="30" t="s">
        <v>55</v>
      </c>
      <c r="M19" s="31" t="s">
        <v>8</v>
      </c>
      <c r="N19" s="31" t="s">
        <v>82</v>
      </c>
      <c r="O19" s="32" t="s">
        <v>108</v>
      </c>
      <c r="Q19" s="39"/>
    </row>
    <row r="20" ht="39.6" spans="1:15">
      <c r="A20" s="33" t="s">
        <v>109</v>
      </c>
      <c r="B20" s="33" t="s">
        <v>110</v>
      </c>
      <c r="C20" s="33" t="s">
        <v>111</v>
      </c>
      <c r="D20" s="33" t="s">
        <v>112</v>
      </c>
      <c r="E20" s="33" t="s">
        <v>33</v>
      </c>
      <c r="F20" s="34" t="s">
        <v>55</v>
      </c>
      <c r="G20" s="33" t="s">
        <v>8</v>
      </c>
      <c r="H20" s="33" t="s">
        <v>82</v>
      </c>
      <c r="I20" s="34" t="s">
        <v>55</v>
      </c>
      <c r="J20" s="33" t="s">
        <v>8</v>
      </c>
      <c r="K20" s="33" t="s">
        <v>82</v>
      </c>
      <c r="L20" s="34" t="s">
        <v>55</v>
      </c>
      <c r="M20" s="33" t="s">
        <v>8</v>
      </c>
      <c r="N20" s="33" t="s">
        <v>82</v>
      </c>
      <c r="O20" s="33" t="s">
        <v>83</v>
      </c>
    </row>
    <row r="21" ht="39.6" spans="1:15">
      <c r="A21" s="33" t="s">
        <v>113</v>
      </c>
      <c r="B21" s="33" t="s">
        <v>110</v>
      </c>
      <c r="C21" s="33" t="s">
        <v>114</v>
      </c>
      <c r="D21" s="33" t="s">
        <v>112</v>
      </c>
      <c r="E21" s="33" t="s">
        <v>33</v>
      </c>
      <c r="F21" s="34" t="s">
        <v>55</v>
      </c>
      <c r="G21" s="33" t="s">
        <v>8</v>
      </c>
      <c r="H21" s="33" t="s">
        <v>82</v>
      </c>
      <c r="I21" s="34" t="s">
        <v>55</v>
      </c>
      <c r="J21" s="33" t="s">
        <v>8</v>
      </c>
      <c r="K21" s="33" t="s">
        <v>82</v>
      </c>
      <c r="L21" s="34" t="s">
        <v>55</v>
      </c>
      <c r="M21" s="33" t="s">
        <v>8</v>
      </c>
      <c r="N21" s="33" t="s">
        <v>82</v>
      </c>
      <c r="O21" s="33" t="s">
        <v>83</v>
      </c>
    </row>
    <row r="22" ht="39.6" spans="1:15">
      <c r="A22" s="33" t="s">
        <v>115</v>
      </c>
      <c r="B22" s="33" t="s">
        <v>116</v>
      </c>
      <c r="C22" s="33" t="s">
        <v>106</v>
      </c>
      <c r="D22" s="33" t="s">
        <v>117</v>
      </c>
      <c r="E22" s="33" t="s">
        <v>33</v>
      </c>
      <c r="F22" s="34" t="s">
        <v>55</v>
      </c>
      <c r="G22" s="33" t="s">
        <v>8</v>
      </c>
      <c r="H22" s="33" t="s">
        <v>82</v>
      </c>
      <c r="I22" s="34" t="s">
        <v>55</v>
      </c>
      <c r="J22" s="33" t="s">
        <v>8</v>
      </c>
      <c r="K22" s="33" t="s">
        <v>82</v>
      </c>
      <c r="L22" s="34" t="s">
        <v>55</v>
      </c>
      <c r="M22" s="33" t="s">
        <v>8</v>
      </c>
      <c r="N22" s="33" t="s">
        <v>82</v>
      </c>
      <c r="O22" s="33" t="s">
        <v>118</v>
      </c>
    </row>
  </sheetData>
  <mergeCells count="3">
    <mergeCell ref="B2:E2"/>
    <mergeCell ref="B3:E3"/>
    <mergeCell ref="B4:E4"/>
  </mergeCells>
  <pageMargins left="0.747916666666667" right="0.25" top="0.75" bottom="0.984027777777778" header="0.5" footer="0.5"/>
  <pageSetup paperSize="9" firstPageNumber="0" orientation="landscape" useFirstPageNumber="1" horizontalDpi="300" verticalDpi="30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0"/>
  <sheetViews>
    <sheetView topLeftCell="D1" workbookViewId="0">
      <selection activeCell="J7" sqref="J7"/>
    </sheetView>
  </sheetViews>
  <sheetFormatPr defaultColWidth="9" defaultRowHeight="13.2"/>
  <cols>
    <col min="1" max="1" width="19.6666666666667" style="3" customWidth="1"/>
    <col min="2" max="2" width="48.2222222222222" style="3" customWidth="1"/>
    <col min="3" max="3" width="34" style="3" customWidth="1"/>
    <col min="4" max="4" width="77.8888888888889" style="3" customWidth="1"/>
    <col min="5" max="5" width="29.6666666666667" style="3" customWidth="1"/>
    <col min="6" max="6" width="8.77777777777778" style="3" customWidth="1"/>
    <col min="7" max="7" width="10.1111111111111" style="3" customWidth="1" outlineLevel="1"/>
    <col min="8" max="8" width="15.1111111111111" style="3" customWidth="1" outlineLevel="1"/>
    <col min="9" max="9" width="8.77777777777778" style="3" customWidth="1"/>
    <col min="10" max="10" width="10.1111111111111" style="3" customWidth="1" outlineLevel="1"/>
    <col min="11" max="11" width="15.1111111111111" style="3" customWidth="1" outlineLevel="1"/>
    <col min="12" max="12" width="8.77777777777778" style="3" customWidth="1"/>
    <col min="13" max="13" width="10.1111111111111" style="3" customWidth="1" outlineLevel="1"/>
    <col min="14" max="14" width="15.1111111111111" style="3" customWidth="1" outlineLevel="1"/>
    <col min="15" max="15" width="28.7777777777778" style="3" customWidth="1"/>
    <col min="16" max="16" width="10.1296296296296" style="3" customWidth="1"/>
    <col min="17" max="17" width="8.12962962962963" style="4" customWidth="1"/>
    <col min="18" max="18" width="7.66666666666667" style="3" hidden="1" customWidth="1"/>
    <col min="19" max="16384" width="9" style="3" customWidth="1"/>
  </cols>
  <sheetData>
    <row r="1" ht="13.95" customHeight="1"/>
    <row r="2" s="1" customFormat="1" ht="15" customHeight="1" spans="1:18">
      <c r="A2" s="5" t="s">
        <v>63</v>
      </c>
      <c r="B2" s="6" t="s">
        <v>35</v>
      </c>
      <c r="C2" s="7"/>
      <c r="D2" s="7"/>
      <c r="E2" s="8"/>
      <c r="F2" s="9"/>
      <c r="G2" s="10"/>
      <c r="H2" s="11"/>
      <c r="I2" s="9"/>
      <c r="J2" s="10"/>
      <c r="K2" s="11"/>
      <c r="L2" s="9"/>
      <c r="M2" s="10"/>
      <c r="N2" s="11"/>
      <c r="O2" s="11"/>
      <c r="P2" s="11"/>
      <c r="Q2" s="35"/>
      <c r="R2" s="1" t="s">
        <v>55</v>
      </c>
    </row>
    <row r="3" s="1" customFormat="1" spans="1:18">
      <c r="A3" s="12" t="s">
        <v>64</v>
      </c>
      <c r="B3" s="13" t="s">
        <v>36</v>
      </c>
      <c r="C3" s="14"/>
      <c r="D3" s="14"/>
      <c r="E3" s="15"/>
      <c r="F3" s="9"/>
      <c r="G3" s="10"/>
      <c r="H3" s="11"/>
      <c r="I3" s="9"/>
      <c r="J3" s="10"/>
      <c r="K3" s="11"/>
      <c r="L3" s="9"/>
      <c r="M3" s="10"/>
      <c r="N3" s="11"/>
      <c r="O3" s="11"/>
      <c r="P3" s="11"/>
      <c r="Q3" s="35"/>
      <c r="R3" s="1" t="s">
        <v>56</v>
      </c>
    </row>
    <row r="4" s="1" customFormat="1" ht="18" customHeight="1" spans="1:18">
      <c r="A4" s="12" t="s">
        <v>65</v>
      </c>
      <c r="B4" s="13">
        <f>COUNTA(A11:A20)</f>
        <v>10</v>
      </c>
      <c r="C4" s="14"/>
      <c r="D4" s="14"/>
      <c r="E4" s="15"/>
      <c r="F4" s="9"/>
      <c r="G4" s="10"/>
      <c r="H4" s="11"/>
      <c r="I4" s="9"/>
      <c r="J4" s="10"/>
      <c r="K4" s="11"/>
      <c r="L4" s="9"/>
      <c r="M4" s="10"/>
      <c r="N4" s="11"/>
      <c r="O4" s="11"/>
      <c r="P4" s="11"/>
      <c r="Q4" s="35"/>
      <c r="R4" s="1" t="s">
        <v>57</v>
      </c>
    </row>
    <row r="5" s="1" customFormat="1" ht="19.5" customHeight="1" spans="1:18">
      <c r="A5" s="16" t="s">
        <v>66</v>
      </c>
      <c r="B5" s="17" t="s">
        <v>55</v>
      </c>
      <c r="C5" s="17" t="s">
        <v>56</v>
      </c>
      <c r="D5" s="17" t="s">
        <v>57</v>
      </c>
      <c r="E5" s="18" t="s">
        <v>58</v>
      </c>
      <c r="F5" s="19"/>
      <c r="G5" s="19"/>
      <c r="H5" s="20"/>
      <c r="I5" s="19"/>
      <c r="J5" s="19"/>
      <c r="K5" s="20"/>
      <c r="L5" s="19"/>
      <c r="M5" s="19"/>
      <c r="N5" s="20"/>
      <c r="O5" s="20"/>
      <c r="P5" s="20"/>
      <c r="Q5" s="36"/>
      <c r="R5" s="1" t="s">
        <v>58</v>
      </c>
    </row>
    <row r="6" s="1" customFormat="1" ht="15" customHeight="1" spans="1:17">
      <c r="A6" s="16" t="s">
        <v>67</v>
      </c>
      <c r="B6" s="21">
        <f>COUNTIF($F11:$F20,"Passed")</f>
        <v>10</v>
      </c>
      <c r="C6" s="21">
        <f>COUNTIF($F11:$F20,"Failed")</f>
        <v>0</v>
      </c>
      <c r="D6" s="21">
        <f>COUNTIF($F11:$F20,"Pending")</f>
        <v>0</v>
      </c>
      <c r="E6" s="22">
        <f>COUNTIF($F11:$F20,"N/A")</f>
        <v>0</v>
      </c>
      <c r="F6" s="23"/>
      <c r="G6" s="23"/>
      <c r="H6" s="20"/>
      <c r="I6" s="23"/>
      <c r="J6" s="23"/>
      <c r="K6" s="20"/>
      <c r="L6" s="23"/>
      <c r="M6" s="23"/>
      <c r="N6" s="20"/>
      <c r="O6" s="20"/>
      <c r="P6" s="20"/>
      <c r="Q6" s="36"/>
    </row>
    <row r="7" s="1" customFormat="1" ht="15" customHeight="1" spans="1:17">
      <c r="A7" s="16" t="s">
        <v>68</v>
      </c>
      <c r="B7" s="21">
        <f>COUNTIF($F11:$F20,"Passed")</f>
        <v>10</v>
      </c>
      <c r="C7" s="21">
        <f>COUNTIF($F11:$F20,"Failed")</f>
        <v>0</v>
      </c>
      <c r="D7" s="21">
        <f>COUNTIF($F11:$F20,"Pending")</f>
        <v>0</v>
      </c>
      <c r="E7" s="22">
        <f>COUNTIF($F11:$F20,"N/A")</f>
        <v>0</v>
      </c>
      <c r="F7" s="23"/>
      <c r="G7" s="23"/>
      <c r="H7" s="20"/>
      <c r="I7" s="23"/>
      <c r="J7" s="23"/>
      <c r="K7" s="20"/>
      <c r="L7" s="23"/>
      <c r="M7" s="23"/>
      <c r="N7" s="20"/>
      <c r="O7" s="20"/>
      <c r="P7" s="20"/>
      <c r="Q7" s="36"/>
    </row>
    <row r="8" s="1" customFormat="1" ht="15" customHeight="1" spans="1:17">
      <c r="A8" s="24" t="s">
        <v>69</v>
      </c>
      <c r="B8" s="25">
        <f>COUNTIF($F11:$F20,"Passed")</f>
        <v>10</v>
      </c>
      <c r="C8" s="25">
        <f>COUNTIF($F11:$F20,"Failed")</f>
        <v>0</v>
      </c>
      <c r="D8" s="25">
        <f>COUNTIF($F11:$F20,"Pending")</f>
        <v>0</v>
      </c>
      <c r="E8" s="26">
        <f>COUNTIF($F11:$F20,"N/A")</f>
        <v>0</v>
      </c>
      <c r="F8" s="23"/>
      <c r="G8" s="23"/>
      <c r="H8" s="20"/>
      <c r="I8" s="23"/>
      <c r="J8" s="23"/>
      <c r="K8" s="20"/>
      <c r="L8" s="23"/>
      <c r="M8" s="23"/>
      <c r="N8" s="20"/>
      <c r="O8" s="20"/>
      <c r="P8" s="20"/>
      <c r="Q8" s="36"/>
    </row>
    <row r="9" s="1" customFormat="1" ht="15" customHeight="1" spans="1:17">
      <c r="A9" s="20"/>
      <c r="B9" s="20"/>
      <c r="C9" s="20"/>
      <c r="D9" s="20"/>
      <c r="E9" s="20"/>
      <c r="F9" s="27"/>
      <c r="G9" s="20"/>
      <c r="H9" s="20"/>
      <c r="I9" s="27"/>
      <c r="J9" s="20"/>
      <c r="K9" s="20"/>
      <c r="L9" s="27"/>
      <c r="M9" s="20"/>
      <c r="N9" s="20"/>
      <c r="O9" s="20"/>
      <c r="P9" s="20"/>
      <c r="Q9" s="36"/>
    </row>
    <row r="10" s="1" customFormat="1" ht="25.5" customHeight="1" spans="1:17">
      <c r="A10" s="28" t="s">
        <v>70</v>
      </c>
      <c r="B10" s="28" t="s">
        <v>71</v>
      </c>
      <c r="C10" s="28" t="s">
        <v>72</v>
      </c>
      <c r="D10" s="28" t="s">
        <v>73</v>
      </c>
      <c r="E10" s="28" t="s">
        <v>74</v>
      </c>
      <c r="F10" s="28" t="s">
        <v>67</v>
      </c>
      <c r="G10" s="28" t="s">
        <v>75</v>
      </c>
      <c r="H10" s="28" t="s">
        <v>76</v>
      </c>
      <c r="I10" s="28" t="s">
        <v>68</v>
      </c>
      <c r="J10" s="28" t="s">
        <v>75</v>
      </c>
      <c r="K10" s="28" t="s">
        <v>76</v>
      </c>
      <c r="L10" s="28" t="s">
        <v>69</v>
      </c>
      <c r="M10" s="28" t="s">
        <v>75</v>
      </c>
      <c r="N10" s="28" t="s">
        <v>76</v>
      </c>
      <c r="O10" s="28" t="s">
        <v>77</v>
      </c>
      <c r="Q10" s="37"/>
    </row>
    <row r="11" s="1" customFormat="1" ht="15.75" customHeight="1" spans="1:17">
      <c r="A11" s="29" t="s">
        <v>119</v>
      </c>
      <c r="B11" s="29" t="s">
        <v>120</v>
      </c>
      <c r="C11" s="29" t="s">
        <v>121</v>
      </c>
      <c r="D11" s="29" t="s">
        <v>122</v>
      </c>
      <c r="E11" s="29" t="s">
        <v>33</v>
      </c>
      <c r="F11" s="30" t="s">
        <v>55</v>
      </c>
      <c r="G11" s="29" t="s">
        <v>8</v>
      </c>
      <c r="H11" s="29" t="s">
        <v>82</v>
      </c>
      <c r="I11" s="30" t="s">
        <v>55</v>
      </c>
      <c r="J11" s="29" t="s">
        <v>8</v>
      </c>
      <c r="K11" s="29" t="s">
        <v>82</v>
      </c>
      <c r="L11" s="30" t="s">
        <v>55</v>
      </c>
      <c r="M11" s="29" t="s">
        <v>8</v>
      </c>
      <c r="N11" s="29" t="s">
        <v>82</v>
      </c>
      <c r="O11" s="29" t="s">
        <v>123</v>
      </c>
      <c r="Q11" s="38"/>
    </row>
    <row r="12" s="2" customFormat="1" ht="121.05" customHeight="1" outlineLevel="1" spans="1:17">
      <c r="A12" s="31" t="s">
        <v>124</v>
      </c>
      <c r="B12" s="31" t="s">
        <v>120</v>
      </c>
      <c r="C12" s="31" t="s">
        <v>125</v>
      </c>
      <c r="D12" s="32" t="s">
        <v>122</v>
      </c>
      <c r="E12" s="32" t="s">
        <v>33</v>
      </c>
      <c r="F12" s="30" t="s">
        <v>55</v>
      </c>
      <c r="G12" s="31" t="s">
        <v>8</v>
      </c>
      <c r="H12" s="31" t="s">
        <v>82</v>
      </c>
      <c r="I12" s="30" t="s">
        <v>55</v>
      </c>
      <c r="J12" s="31" t="s">
        <v>8</v>
      </c>
      <c r="K12" s="31" t="s">
        <v>82</v>
      </c>
      <c r="L12" s="30" t="s">
        <v>55</v>
      </c>
      <c r="M12" s="31" t="s">
        <v>8</v>
      </c>
      <c r="N12" s="31" t="s">
        <v>82</v>
      </c>
      <c r="O12" s="32" t="s">
        <v>123</v>
      </c>
      <c r="Q12" s="39"/>
    </row>
    <row r="13" ht="92.4" outlineLevel="1" spans="1:17">
      <c r="A13" s="31" t="s">
        <v>126</v>
      </c>
      <c r="B13" s="31" t="s">
        <v>120</v>
      </c>
      <c r="C13" s="31" t="s">
        <v>127</v>
      </c>
      <c r="D13" s="32" t="s">
        <v>122</v>
      </c>
      <c r="E13" s="32" t="s">
        <v>33</v>
      </c>
      <c r="F13" s="30" t="s">
        <v>55</v>
      </c>
      <c r="G13" s="31" t="s">
        <v>8</v>
      </c>
      <c r="H13" s="31" t="s">
        <v>82</v>
      </c>
      <c r="I13" s="30" t="s">
        <v>55</v>
      </c>
      <c r="J13" s="31" t="s">
        <v>8</v>
      </c>
      <c r="K13" s="31" t="s">
        <v>82</v>
      </c>
      <c r="L13" s="30" t="s">
        <v>55</v>
      </c>
      <c r="M13" s="31" t="s">
        <v>8</v>
      </c>
      <c r="N13" s="31" t="s">
        <v>82</v>
      </c>
      <c r="O13" s="32" t="s">
        <v>123</v>
      </c>
      <c r="Q13" s="39"/>
    </row>
    <row r="14" ht="118.8" outlineLevel="1" spans="1:17">
      <c r="A14" s="31" t="s">
        <v>128</v>
      </c>
      <c r="B14" s="31" t="s">
        <v>120</v>
      </c>
      <c r="C14" s="31" t="s">
        <v>129</v>
      </c>
      <c r="D14" s="32" t="s">
        <v>130</v>
      </c>
      <c r="E14" s="32" t="s">
        <v>33</v>
      </c>
      <c r="F14" s="30" t="s">
        <v>55</v>
      </c>
      <c r="G14" s="31" t="s">
        <v>8</v>
      </c>
      <c r="H14" s="31" t="s">
        <v>82</v>
      </c>
      <c r="I14" s="30" t="s">
        <v>55</v>
      </c>
      <c r="J14" s="31" t="s">
        <v>8</v>
      </c>
      <c r="K14" s="31" t="s">
        <v>82</v>
      </c>
      <c r="L14" s="30" t="s">
        <v>55</v>
      </c>
      <c r="M14" s="31" t="s">
        <v>8</v>
      </c>
      <c r="N14" s="31" t="s">
        <v>82</v>
      </c>
      <c r="O14" s="32" t="s">
        <v>131</v>
      </c>
      <c r="Q14" s="39"/>
    </row>
    <row r="15" s="1" customFormat="1" ht="15.75" customHeight="1" spans="1:17">
      <c r="A15" s="29" t="s">
        <v>132</v>
      </c>
      <c r="B15" s="29" t="s">
        <v>120</v>
      </c>
      <c r="C15" s="29" t="s">
        <v>133</v>
      </c>
      <c r="D15" s="29" t="s">
        <v>130</v>
      </c>
      <c r="E15" s="29" t="s">
        <v>33</v>
      </c>
      <c r="F15" s="30" t="s">
        <v>55</v>
      </c>
      <c r="G15" s="29" t="s">
        <v>8</v>
      </c>
      <c r="H15" s="29" t="s">
        <v>82</v>
      </c>
      <c r="I15" s="30" t="s">
        <v>55</v>
      </c>
      <c r="J15" s="29" t="s">
        <v>8</v>
      </c>
      <c r="K15" s="29" t="s">
        <v>82</v>
      </c>
      <c r="L15" s="30" t="s">
        <v>55</v>
      </c>
      <c r="M15" s="29" t="s">
        <v>8</v>
      </c>
      <c r="N15" s="29" t="s">
        <v>82</v>
      </c>
      <c r="O15" s="29" t="s">
        <v>131</v>
      </c>
      <c r="Q15" s="38"/>
    </row>
    <row r="16" ht="145.2" outlineLevel="1" spans="1:17">
      <c r="A16" s="31" t="s">
        <v>134</v>
      </c>
      <c r="B16" s="31" t="s">
        <v>135</v>
      </c>
      <c r="C16" s="31" t="s">
        <v>136</v>
      </c>
      <c r="D16" s="31" t="s">
        <v>137</v>
      </c>
      <c r="E16" s="31" t="s">
        <v>33</v>
      </c>
      <c r="F16" s="30" t="s">
        <v>55</v>
      </c>
      <c r="G16" s="31" t="s">
        <v>8</v>
      </c>
      <c r="H16" s="31" t="s">
        <v>82</v>
      </c>
      <c r="I16" s="30" t="s">
        <v>55</v>
      </c>
      <c r="J16" s="31" t="s">
        <v>8</v>
      </c>
      <c r="K16" s="31" t="s">
        <v>82</v>
      </c>
      <c r="L16" s="30" t="s">
        <v>55</v>
      </c>
      <c r="M16" s="31" t="s">
        <v>8</v>
      </c>
      <c r="N16" s="31" t="s">
        <v>82</v>
      </c>
      <c r="O16" s="32" t="s">
        <v>138</v>
      </c>
      <c r="Q16" s="39"/>
    </row>
    <row r="17" ht="118.8" outlineLevel="1" spans="1:15">
      <c r="A17" s="31" t="s">
        <v>139</v>
      </c>
      <c r="B17" s="31" t="s">
        <v>135</v>
      </c>
      <c r="C17" s="31" t="s">
        <v>140</v>
      </c>
      <c r="D17" s="31" t="s">
        <v>137</v>
      </c>
      <c r="E17" s="31" t="s">
        <v>33</v>
      </c>
      <c r="F17" s="30" t="s">
        <v>55</v>
      </c>
      <c r="G17" s="32" t="s">
        <v>8</v>
      </c>
      <c r="H17" s="32" t="s">
        <v>82</v>
      </c>
      <c r="I17" s="30" t="s">
        <v>55</v>
      </c>
      <c r="J17" s="32" t="s">
        <v>8</v>
      </c>
      <c r="K17" s="32" t="s">
        <v>82</v>
      </c>
      <c r="L17" s="30" t="s">
        <v>55</v>
      </c>
      <c r="M17" s="32" t="s">
        <v>8</v>
      </c>
      <c r="N17" s="32" t="s">
        <v>82</v>
      </c>
      <c r="O17" s="32" t="s">
        <v>138</v>
      </c>
    </row>
    <row r="18" s="1" customFormat="1" ht="15.75" customHeight="1" spans="1:17">
      <c r="A18" s="29" t="s">
        <v>141</v>
      </c>
      <c r="B18" s="29" t="s">
        <v>135</v>
      </c>
      <c r="C18" s="29" t="s">
        <v>142</v>
      </c>
      <c r="D18" s="29" t="s">
        <v>143</v>
      </c>
      <c r="E18" s="29" t="s">
        <v>33</v>
      </c>
      <c r="F18" s="30" t="s">
        <v>55</v>
      </c>
      <c r="G18" s="29" t="s">
        <v>8</v>
      </c>
      <c r="H18" s="29" t="s">
        <v>82</v>
      </c>
      <c r="I18" s="30" t="s">
        <v>55</v>
      </c>
      <c r="J18" s="29" t="s">
        <v>8</v>
      </c>
      <c r="K18" s="29" t="s">
        <v>82</v>
      </c>
      <c r="L18" s="30" t="s">
        <v>55</v>
      </c>
      <c r="M18" s="29" t="s">
        <v>8</v>
      </c>
      <c r="N18" s="29" t="s">
        <v>82</v>
      </c>
      <c r="O18" s="29" t="s">
        <v>144</v>
      </c>
      <c r="Q18" s="38"/>
    </row>
    <row r="19" ht="39.6" outlineLevel="1" spans="1:17">
      <c r="A19" s="31" t="s">
        <v>145</v>
      </c>
      <c r="B19" s="31" t="s">
        <v>146</v>
      </c>
      <c r="C19" s="31" t="s">
        <v>106</v>
      </c>
      <c r="D19" s="31" t="s">
        <v>147</v>
      </c>
      <c r="E19" s="31" t="s">
        <v>33</v>
      </c>
      <c r="F19" s="30" t="s">
        <v>55</v>
      </c>
      <c r="G19" s="31" t="s">
        <v>8</v>
      </c>
      <c r="H19" s="31" t="s">
        <v>82</v>
      </c>
      <c r="I19" s="30" t="s">
        <v>55</v>
      </c>
      <c r="J19" s="31" t="s">
        <v>8</v>
      </c>
      <c r="K19" s="31" t="s">
        <v>82</v>
      </c>
      <c r="L19" s="30" t="s">
        <v>55</v>
      </c>
      <c r="M19" s="31" t="s">
        <v>8</v>
      </c>
      <c r="N19" s="31" t="s">
        <v>82</v>
      </c>
      <c r="O19" s="32" t="s">
        <v>148</v>
      </c>
      <c r="Q19" s="39"/>
    </row>
    <row r="20" ht="39.6" spans="1:15">
      <c r="A20" s="33" t="s">
        <v>149</v>
      </c>
      <c r="B20" s="33" t="s">
        <v>150</v>
      </c>
      <c r="C20" s="33" t="s">
        <v>106</v>
      </c>
      <c r="D20" s="33" t="s">
        <v>147</v>
      </c>
      <c r="E20" s="33" t="s">
        <v>33</v>
      </c>
      <c r="F20" s="34" t="s">
        <v>55</v>
      </c>
      <c r="G20" s="33" t="s">
        <v>8</v>
      </c>
      <c r="H20" s="33" t="s">
        <v>82</v>
      </c>
      <c r="I20" s="34" t="s">
        <v>55</v>
      </c>
      <c r="J20" s="33" t="s">
        <v>8</v>
      </c>
      <c r="K20" s="33" t="s">
        <v>82</v>
      </c>
      <c r="L20" s="34" t="s">
        <v>55</v>
      </c>
      <c r="M20" s="33" t="s">
        <v>8</v>
      </c>
      <c r="N20" s="33" t="s">
        <v>82</v>
      </c>
      <c r="O20" s="33" t="s">
        <v>151</v>
      </c>
    </row>
  </sheetData>
  <mergeCells count="3">
    <mergeCell ref="B2:E2"/>
    <mergeCell ref="B3:E3"/>
    <mergeCell ref="B4:E4"/>
  </mergeCells>
  <pageMargins left="0.747916666666667" right="0.25" top="0.75" bottom="0.984027777777778" header="0.5" footer="0.5"/>
  <pageSetup paperSize="9" firstPageNumber="0" orientation="landscape" useFirstPageNumber="1" horizontalDpi="300" verticalDpi="300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9"/>
  <sheetViews>
    <sheetView topLeftCell="D1" workbookViewId="0">
      <selection activeCell="J5" sqref="J5"/>
    </sheetView>
  </sheetViews>
  <sheetFormatPr defaultColWidth="9" defaultRowHeight="13.2"/>
  <cols>
    <col min="1" max="1" width="21.2222222222222" style="3" customWidth="1"/>
    <col min="2" max="2" width="37.6666666666667" style="3" customWidth="1"/>
    <col min="3" max="3" width="30.5555555555556" style="3" customWidth="1"/>
    <col min="4" max="4" width="64.3333333333333" style="3" customWidth="1"/>
    <col min="5" max="5" width="29.6666666666667" style="3" customWidth="1"/>
    <col min="6" max="6" width="8.77777777777778" style="3" customWidth="1"/>
    <col min="7" max="7" width="10.1111111111111" style="3" customWidth="1" outlineLevel="1"/>
    <col min="8" max="8" width="15.1111111111111" style="3" customWidth="1" outlineLevel="1"/>
    <col min="9" max="9" width="8.77777777777778" style="3" customWidth="1"/>
    <col min="10" max="10" width="10.1111111111111" style="3" customWidth="1" outlineLevel="1"/>
    <col min="11" max="11" width="15.1111111111111" style="3" customWidth="1" outlineLevel="1"/>
    <col min="12" max="12" width="8.77777777777778" style="3" customWidth="1"/>
    <col min="13" max="13" width="10.1111111111111" style="3" customWidth="1" outlineLevel="1"/>
    <col min="14" max="14" width="15.1111111111111" style="3" customWidth="1" outlineLevel="1"/>
    <col min="15" max="15" width="28.7777777777778" style="3" customWidth="1"/>
    <col min="16" max="16" width="10.1296296296296" style="3" customWidth="1"/>
    <col min="17" max="17" width="8.12962962962963" style="4" customWidth="1"/>
    <col min="18" max="18" width="7.66666666666667" style="3" hidden="1" customWidth="1"/>
    <col min="19" max="16384" width="9" style="3" customWidth="1"/>
  </cols>
  <sheetData>
    <row r="1" ht="13.95" customHeight="1"/>
    <row r="2" s="1" customFormat="1" ht="15" customHeight="1" spans="1:18">
      <c r="A2" s="5" t="s">
        <v>63</v>
      </c>
      <c r="B2" s="6" t="s">
        <v>38</v>
      </c>
      <c r="C2" s="7"/>
      <c r="D2" s="7"/>
      <c r="E2" s="8"/>
      <c r="F2" s="9"/>
      <c r="G2" s="10"/>
      <c r="H2" s="11"/>
      <c r="I2" s="9"/>
      <c r="J2" s="10"/>
      <c r="K2" s="11"/>
      <c r="L2" s="9"/>
      <c r="M2" s="10"/>
      <c r="N2" s="11"/>
      <c r="O2" s="11"/>
      <c r="P2" s="11"/>
      <c r="Q2" s="35"/>
      <c r="R2" s="1" t="s">
        <v>55</v>
      </c>
    </row>
    <row r="3" s="1" customFormat="1" spans="1:18">
      <c r="A3" s="12" t="s">
        <v>64</v>
      </c>
      <c r="B3" s="13" t="s">
        <v>39</v>
      </c>
      <c r="C3" s="14"/>
      <c r="D3" s="14"/>
      <c r="E3" s="15"/>
      <c r="F3" s="9"/>
      <c r="G3" s="10"/>
      <c r="H3" s="11"/>
      <c r="I3" s="9"/>
      <c r="J3" s="10"/>
      <c r="K3" s="11"/>
      <c r="L3" s="9"/>
      <c r="M3" s="10"/>
      <c r="N3" s="11"/>
      <c r="O3" s="11"/>
      <c r="P3" s="11"/>
      <c r="Q3" s="35"/>
      <c r="R3" s="1" t="s">
        <v>56</v>
      </c>
    </row>
    <row r="4" s="1" customFormat="1" ht="18" customHeight="1" spans="1:18">
      <c r="A4" s="12" t="s">
        <v>65</v>
      </c>
      <c r="B4" s="13">
        <f>COUNTA(A11:A19)</f>
        <v>9</v>
      </c>
      <c r="C4" s="14"/>
      <c r="D4" s="14"/>
      <c r="E4" s="15"/>
      <c r="F4" s="9"/>
      <c r="G4" s="10"/>
      <c r="H4" s="11"/>
      <c r="I4" s="9"/>
      <c r="J4" s="10"/>
      <c r="K4" s="11"/>
      <c r="L4" s="9"/>
      <c r="M4" s="10"/>
      <c r="N4" s="11"/>
      <c r="O4" s="11"/>
      <c r="P4" s="11"/>
      <c r="Q4" s="35"/>
      <c r="R4" s="1" t="s">
        <v>57</v>
      </c>
    </row>
    <row r="5" s="1" customFormat="1" ht="19.5" customHeight="1" spans="1:18">
      <c r="A5" s="16" t="s">
        <v>66</v>
      </c>
      <c r="B5" s="17" t="s">
        <v>55</v>
      </c>
      <c r="C5" s="17" t="s">
        <v>56</v>
      </c>
      <c r="D5" s="17" t="s">
        <v>57</v>
      </c>
      <c r="E5" s="18" t="s">
        <v>58</v>
      </c>
      <c r="F5" s="19"/>
      <c r="G5" s="19"/>
      <c r="H5" s="20"/>
      <c r="I5" s="19"/>
      <c r="J5" s="19"/>
      <c r="K5" s="20"/>
      <c r="L5" s="19"/>
      <c r="M5" s="19"/>
      <c r="N5" s="20"/>
      <c r="O5" s="20"/>
      <c r="P5" s="20"/>
      <c r="Q5" s="36"/>
      <c r="R5" s="1" t="s">
        <v>58</v>
      </c>
    </row>
    <row r="6" s="1" customFormat="1" ht="15" customHeight="1" spans="1:17">
      <c r="A6" s="16" t="s">
        <v>67</v>
      </c>
      <c r="B6" s="21">
        <f>COUNTIF($F11:$F19,"Passed")</f>
        <v>9</v>
      </c>
      <c r="C6" s="21">
        <f>COUNTIF($F11:$F19,"Failed")</f>
        <v>0</v>
      </c>
      <c r="D6" s="21">
        <f>COUNTIF($F11:$F19,"Pending")</f>
        <v>0</v>
      </c>
      <c r="E6" s="22">
        <f>COUNTIF($F11:$F19,"N/A")</f>
        <v>0</v>
      </c>
      <c r="F6" s="23"/>
      <c r="G6" s="23"/>
      <c r="H6" s="20"/>
      <c r="I6" s="23"/>
      <c r="J6" s="23"/>
      <c r="K6" s="20"/>
      <c r="L6" s="23"/>
      <c r="M6" s="23"/>
      <c r="N6" s="20"/>
      <c r="O6" s="20"/>
      <c r="P6" s="20"/>
      <c r="Q6" s="36"/>
    </row>
    <row r="7" s="1" customFormat="1" ht="15" customHeight="1" spans="1:17">
      <c r="A7" s="16" t="s">
        <v>68</v>
      </c>
      <c r="B7" s="21">
        <f>COUNTIF($F11:$F19,"Passed")</f>
        <v>9</v>
      </c>
      <c r="C7" s="21">
        <f>COUNTIF($F11:$F19,"Failed")</f>
        <v>0</v>
      </c>
      <c r="D7" s="21">
        <f>COUNTIF($F11:$F19,"Pending")</f>
        <v>0</v>
      </c>
      <c r="E7" s="22">
        <f>COUNTIF($F11:$F19,"N/A")</f>
        <v>0</v>
      </c>
      <c r="F7" s="23"/>
      <c r="G7" s="23"/>
      <c r="H7" s="20"/>
      <c r="I7" s="23"/>
      <c r="J7" s="23"/>
      <c r="K7" s="20"/>
      <c r="L7" s="23"/>
      <c r="M7" s="23"/>
      <c r="N7" s="20"/>
      <c r="O7" s="20"/>
      <c r="P7" s="20"/>
      <c r="Q7" s="36"/>
    </row>
    <row r="8" s="1" customFormat="1" ht="15" customHeight="1" spans="1:17">
      <c r="A8" s="24" t="s">
        <v>69</v>
      </c>
      <c r="B8" s="25">
        <f>COUNTIF($F11:$F19,"Passed")</f>
        <v>9</v>
      </c>
      <c r="C8" s="25">
        <f>COUNTIF($F11:$F19,"Failed")</f>
        <v>0</v>
      </c>
      <c r="D8" s="25">
        <f>COUNTIF($F11:$F19,"Pending")</f>
        <v>0</v>
      </c>
      <c r="E8" s="26">
        <f>COUNTIF($F11:$F19,"N/A")</f>
        <v>0</v>
      </c>
      <c r="F8" s="23"/>
      <c r="G8" s="23"/>
      <c r="H8" s="20"/>
      <c r="I8" s="23"/>
      <c r="J8" s="23"/>
      <c r="K8" s="20"/>
      <c r="L8" s="23"/>
      <c r="M8" s="23"/>
      <c r="N8" s="20"/>
      <c r="O8" s="20"/>
      <c r="P8" s="20"/>
      <c r="Q8" s="36"/>
    </row>
    <row r="9" s="1" customFormat="1" ht="15" customHeight="1" spans="1:17">
      <c r="A9" s="20"/>
      <c r="B9" s="20"/>
      <c r="C9" s="20"/>
      <c r="D9" s="20"/>
      <c r="E9" s="20"/>
      <c r="F9" s="27"/>
      <c r="G9" s="20"/>
      <c r="H9" s="20"/>
      <c r="I9" s="27"/>
      <c r="J9" s="20"/>
      <c r="K9" s="20"/>
      <c r="L9" s="27"/>
      <c r="M9" s="20"/>
      <c r="N9" s="20"/>
      <c r="O9" s="20"/>
      <c r="P9" s="20"/>
      <c r="Q9" s="36"/>
    </row>
    <row r="10" s="1" customFormat="1" ht="25.5" customHeight="1" spans="1:17">
      <c r="A10" s="28" t="s">
        <v>70</v>
      </c>
      <c r="B10" s="28" t="s">
        <v>71</v>
      </c>
      <c r="C10" s="28" t="s">
        <v>72</v>
      </c>
      <c r="D10" s="28" t="s">
        <v>73</v>
      </c>
      <c r="E10" s="28" t="s">
        <v>74</v>
      </c>
      <c r="F10" s="28" t="s">
        <v>67</v>
      </c>
      <c r="G10" s="28" t="s">
        <v>75</v>
      </c>
      <c r="H10" s="28" t="s">
        <v>76</v>
      </c>
      <c r="I10" s="28" t="s">
        <v>68</v>
      </c>
      <c r="J10" s="28" t="s">
        <v>75</v>
      </c>
      <c r="K10" s="28" t="s">
        <v>76</v>
      </c>
      <c r="L10" s="28" t="s">
        <v>69</v>
      </c>
      <c r="M10" s="28" t="s">
        <v>75</v>
      </c>
      <c r="N10" s="28" t="s">
        <v>76</v>
      </c>
      <c r="O10" s="28" t="s">
        <v>77</v>
      </c>
      <c r="Q10" s="37"/>
    </row>
    <row r="11" s="1" customFormat="1" ht="15.75" customHeight="1" spans="1:17">
      <c r="A11" s="29" t="s">
        <v>152</v>
      </c>
      <c r="B11" s="29" t="s">
        <v>153</v>
      </c>
      <c r="C11" s="29" t="s">
        <v>154</v>
      </c>
      <c r="D11" s="29" t="s">
        <v>155</v>
      </c>
      <c r="E11" s="29" t="s">
        <v>33</v>
      </c>
      <c r="F11" s="30" t="s">
        <v>55</v>
      </c>
      <c r="G11" s="29" t="s">
        <v>8</v>
      </c>
      <c r="H11" s="29" t="s">
        <v>82</v>
      </c>
      <c r="I11" s="30" t="s">
        <v>55</v>
      </c>
      <c r="J11" s="29" t="s">
        <v>8</v>
      </c>
      <c r="K11" s="29" t="s">
        <v>82</v>
      </c>
      <c r="L11" s="30" t="s">
        <v>55</v>
      </c>
      <c r="M11" s="29" t="s">
        <v>8</v>
      </c>
      <c r="N11" s="29" t="s">
        <v>82</v>
      </c>
      <c r="O11" s="29" t="s">
        <v>156</v>
      </c>
      <c r="Q11" s="38"/>
    </row>
    <row r="12" s="2" customFormat="1" ht="121.05" customHeight="1" outlineLevel="1" spans="1:17">
      <c r="A12" s="31" t="s">
        <v>157</v>
      </c>
      <c r="B12" s="31" t="s">
        <v>153</v>
      </c>
      <c r="C12" s="31" t="s">
        <v>158</v>
      </c>
      <c r="D12" s="32" t="s">
        <v>155</v>
      </c>
      <c r="E12" s="32" t="s">
        <v>33</v>
      </c>
      <c r="F12" s="30" t="s">
        <v>55</v>
      </c>
      <c r="G12" s="31" t="s">
        <v>8</v>
      </c>
      <c r="H12" s="31" t="s">
        <v>82</v>
      </c>
      <c r="I12" s="30" t="s">
        <v>55</v>
      </c>
      <c r="J12" s="31" t="s">
        <v>8</v>
      </c>
      <c r="K12" s="31" t="s">
        <v>82</v>
      </c>
      <c r="L12" s="30" t="s">
        <v>55</v>
      </c>
      <c r="M12" s="31" t="s">
        <v>8</v>
      </c>
      <c r="N12" s="31" t="s">
        <v>82</v>
      </c>
      <c r="O12" s="32" t="s">
        <v>159</v>
      </c>
      <c r="Q12" s="39"/>
    </row>
    <row r="13" ht="66" outlineLevel="1" spans="1:17">
      <c r="A13" s="31" t="s">
        <v>160</v>
      </c>
      <c r="B13" s="31" t="s">
        <v>153</v>
      </c>
      <c r="C13" s="31" t="s">
        <v>161</v>
      </c>
      <c r="D13" s="32" t="s">
        <v>155</v>
      </c>
      <c r="E13" s="32" t="s">
        <v>33</v>
      </c>
      <c r="F13" s="30" t="s">
        <v>55</v>
      </c>
      <c r="G13" s="31" t="s">
        <v>8</v>
      </c>
      <c r="H13" s="31" t="s">
        <v>82</v>
      </c>
      <c r="I13" s="30" t="s">
        <v>55</v>
      </c>
      <c r="J13" s="31" t="s">
        <v>8</v>
      </c>
      <c r="K13" s="31" t="s">
        <v>82</v>
      </c>
      <c r="L13" s="30" t="s">
        <v>55</v>
      </c>
      <c r="M13" s="31" t="s">
        <v>8</v>
      </c>
      <c r="N13" s="31" t="s">
        <v>82</v>
      </c>
      <c r="O13" s="32" t="s">
        <v>159</v>
      </c>
      <c r="Q13" s="39"/>
    </row>
    <row r="14" ht="66" outlineLevel="1" spans="1:17">
      <c r="A14" s="31" t="s">
        <v>162</v>
      </c>
      <c r="B14" s="31" t="s">
        <v>153</v>
      </c>
      <c r="C14" s="31" t="s">
        <v>163</v>
      </c>
      <c r="D14" s="32" t="s">
        <v>155</v>
      </c>
      <c r="E14" s="32" t="s">
        <v>33</v>
      </c>
      <c r="F14" s="30" t="s">
        <v>55</v>
      </c>
      <c r="G14" s="31" t="s">
        <v>8</v>
      </c>
      <c r="H14" s="31" t="s">
        <v>82</v>
      </c>
      <c r="I14" s="30" t="s">
        <v>55</v>
      </c>
      <c r="J14" s="31" t="s">
        <v>8</v>
      </c>
      <c r="K14" s="31" t="s">
        <v>82</v>
      </c>
      <c r="L14" s="30" t="s">
        <v>55</v>
      </c>
      <c r="M14" s="31" t="s">
        <v>8</v>
      </c>
      <c r="N14" s="31" t="s">
        <v>82</v>
      </c>
      <c r="O14" s="32" t="s">
        <v>159</v>
      </c>
      <c r="Q14" s="39"/>
    </row>
    <row r="15" s="1" customFormat="1" ht="15.75" customHeight="1" spans="1:17">
      <c r="A15" s="29" t="s">
        <v>164</v>
      </c>
      <c r="B15" s="29" t="s">
        <v>165</v>
      </c>
      <c r="C15" s="29" t="s">
        <v>166</v>
      </c>
      <c r="D15" s="29" t="s">
        <v>167</v>
      </c>
      <c r="E15" s="29" t="s">
        <v>33</v>
      </c>
      <c r="F15" s="30" t="s">
        <v>55</v>
      </c>
      <c r="G15" s="29" t="s">
        <v>8</v>
      </c>
      <c r="H15" s="29" t="s">
        <v>82</v>
      </c>
      <c r="I15" s="30" t="s">
        <v>55</v>
      </c>
      <c r="J15" s="29" t="s">
        <v>8</v>
      </c>
      <c r="K15" s="29" t="s">
        <v>82</v>
      </c>
      <c r="L15" s="30" t="s">
        <v>55</v>
      </c>
      <c r="M15" s="29" t="s">
        <v>8</v>
      </c>
      <c r="N15" s="29" t="s">
        <v>82</v>
      </c>
      <c r="O15" s="29" t="s">
        <v>168</v>
      </c>
      <c r="Q15" s="38"/>
    </row>
    <row r="16" ht="39.6" outlineLevel="1" spans="1:17">
      <c r="A16" s="31" t="s">
        <v>169</v>
      </c>
      <c r="B16" s="31" t="s">
        <v>165</v>
      </c>
      <c r="C16" s="31" t="s">
        <v>170</v>
      </c>
      <c r="D16" s="31" t="s">
        <v>167</v>
      </c>
      <c r="E16" s="31" t="s">
        <v>33</v>
      </c>
      <c r="F16" s="30" t="s">
        <v>55</v>
      </c>
      <c r="G16" s="31" t="s">
        <v>8</v>
      </c>
      <c r="H16" s="31" t="s">
        <v>82</v>
      </c>
      <c r="I16" s="30" t="s">
        <v>55</v>
      </c>
      <c r="J16" s="31" t="s">
        <v>8</v>
      </c>
      <c r="K16" s="31" t="s">
        <v>82</v>
      </c>
      <c r="L16" s="30" t="s">
        <v>55</v>
      </c>
      <c r="M16" s="31" t="s">
        <v>8</v>
      </c>
      <c r="N16" s="31" t="s">
        <v>82</v>
      </c>
      <c r="O16" s="32" t="s">
        <v>171</v>
      </c>
      <c r="Q16" s="39"/>
    </row>
    <row r="17" ht="39.6" outlineLevel="1" spans="1:15">
      <c r="A17" s="31" t="s">
        <v>172</v>
      </c>
      <c r="B17" s="31" t="s">
        <v>165</v>
      </c>
      <c r="C17" s="31" t="s">
        <v>173</v>
      </c>
      <c r="D17" s="31" t="s">
        <v>167</v>
      </c>
      <c r="E17" s="31" t="s">
        <v>33</v>
      </c>
      <c r="F17" s="30" t="s">
        <v>55</v>
      </c>
      <c r="G17" s="32" t="s">
        <v>8</v>
      </c>
      <c r="H17" s="32" t="s">
        <v>82</v>
      </c>
      <c r="I17" s="30" t="s">
        <v>55</v>
      </c>
      <c r="J17" s="32" t="s">
        <v>8</v>
      </c>
      <c r="K17" s="32" t="s">
        <v>82</v>
      </c>
      <c r="L17" s="30" t="s">
        <v>55</v>
      </c>
      <c r="M17" s="32" t="s">
        <v>8</v>
      </c>
      <c r="N17" s="32" t="s">
        <v>82</v>
      </c>
      <c r="O17" s="32" t="s">
        <v>171</v>
      </c>
    </row>
    <row r="18" s="1" customFormat="1" ht="15.75" customHeight="1" spans="1:17">
      <c r="A18" s="29" t="s">
        <v>174</v>
      </c>
      <c r="B18" s="29" t="s">
        <v>175</v>
      </c>
      <c r="C18" s="29" t="s">
        <v>176</v>
      </c>
      <c r="D18" s="29" t="s">
        <v>177</v>
      </c>
      <c r="E18" s="29" t="s">
        <v>33</v>
      </c>
      <c r="F18" s="30" t="s">
        <v>55</v>
      </c>
      <c r="G18" s="29" t="s">
        <v>8</v>
      </c>
      <c r="H18" s="29" t="s">
        <v>82</v>
      </c>
      <c r="I18" s="30" t="s">
        <v>55</v>
      </c>
      <c r="J18" s="29" t="s">
        <v>8</v>
      </c>
      <c r="K18" s="29" t="s">
        <v>82</v>
      </c>
      <c r="L18" s="30" t="s">
        <v>55</v>
      </c>
      <c r="M18" s="29" t="s">
        <v>8</v>
      </c>
      <c r="N18" s="29" t="s">
        <v>82</v>
      </c>
      <c r="O18" s="29" t="s">
        <v>178</v>
      </c>
      <c r="Q18" s="38"/>
    </row>
    <row r="19" ht="79.2" outlineLevel="1" spans="1:17">
      <c r="A19" s="31" t="s">
        <v>179</v>
      </c>
      <c r="B19" s="31" t="s">
        <v>175</v>
      </c>
      <c r="C19" s="31" t="s">
        <v>180</v>
      </c>
      <c r="D19" s="31" t="s">
        <v>177</v>
      </c>
      <c r="E19" s="31" t="s">
        <v>33</v>
      </c>
      <c r="F19" s="30" t="s">
        <v>55</v>
      </c>
      <c r="G19" s="31" t="s">
        <v>8</v>
      </c>
      <c r="H19" s="31" t="s">
        <v>82</v>
      </c>
      <c r="I19" s="30" t="s">
        <v>55</v>
      </c>
      <c r="J19" s="31" t="s">
        <v>8</v>
      </c>
      <c r="K19" s="31" t="s">
        <v>82</v>
      </c>
      <c r="L19" s="30" t="s">
        <v>55</v>
      </c>
      <c r="M19" s="31" t="s">
        <v>8</v>
      </c>
      <c r="N19" s="31" t="s">
        <v>82</v>
      </c>
      <c r="O19" s="32" t="s">
        <v>181</v>
      </c>
      <c r="Q19" s="39"/>
    </row>
  </sheetData>
  <mergeCells count="3">
    <mergeCell ref="B2:E2"/>
    <mergeCell ref="B3:E3"/>
    <mergeCell ref="B4:E4"/>
  </mergeCells>
  <pageMargins left="0.747916666666667" right="0.25" top="0.75" bottom="0.984027777777778" header="0.5" footer="0.5"/>
  <pageSetup paperSize="9" firstPageNumber="0" orientation="landscape" useFirstPageNumber="1" horizontalDpi="300" verticalDpi="300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33"/>
  <sheetViews>
    <sheetView workbookViewId="0">
      <selection activeCell="D7" sqref="D7"/>
    </sheetView>
  </sheetViews>
  <sheetFormatPr defaultColWidth="9" defaultRowHeight="13.2"/>
  <cols>
    <col min="1" max="1" width="21.5555555555556" style="3" customWidth="1"/>
    <col min="2" max="2" width="32.3333333333333" style="3" customWidth="1"/>
    <col min="3" max="3" width="34.1111111111111" style="3" customWidth="1"/>
    <col min="4" max="4" width="87.7777777777778" style="3" customWidth="1"/>
    <col min="5" max="5" width="29.6666666666667" style="3" customWidth="1"/>
    <col min="6" max="6" width="8.77777777777778" style="3" customWidth="1"/>
    <col min="7" max="7" width="10.1111111111111" style="3" customWidth="1" outlineLevel="1"/>
    <col min="8" max="8" width="15.1111111111111" style="3" customWidth="1" outlineLevel="1"/>
    <col min="9" max="9" width="8.77777777777778" style="3" customWidth="1"/>
    <col min="10" max="10" width="10.1111111111111" style="3" customWidth="1" outlineLevel="1"/>
    <col min="11" max="11" width="15.1111111111111" style="3" customWidth="1" outlineLevel="1"/>
    <col min="12" max="12" width="8.77777777777778" style="3" customWidth="1"/>
    <col min="13" max="13" width="10.1111111111111" style="3" customWidth="1" outlineLevel="1"/>
    <col min="14" max="14" width="15.1111111111111" style="3" customWidth="1" outlineLevel="1"/>
    <col min="15" max="15" width="28.7777777777778" style="3" customWidth="1"/>
    <col min="16" max="16" width="10.1296296296296" style="3" customWidth="1"/>
    <col min="17" max="17" width="8.12962962962963" style="4" customWidth="1"/>
    <col min="18" max="18" width="7.66666666666667" style="3" hidden="1" customWidth="1"/>
    <col min="19" max="16384" width="9" style="3" customWidth="1"/>
  </cols>
  <sheetData>
    <row r="1" ht="13.95" customHeight="1"/>
    <row r="2" s="1" customFormat="1" ht="15" customHeight="1" spans="1:18">
      <c r="A2" s="5" t="s">
        <v>63</v>
      </c>
      <c r="B2" s="6" t="s">
        <v>41</v>
      </c>
      <c r="C2" s="7"/>
      <c r="D2" s="7"/>
      <c r="E2" s="8"/>
      <c r="F2" s="9"/>
      <c r="G2" s="10"/>
      <c r="H2" s="11"/>
      <c r="I2" s="9"/>
      <c r="J2" s="10"/>
      <c r="K2" s="11"/>
      <c r="L2" s="9"/>
      <c r="M2" s="10"/>
      <c r="N2" s="11"/>
      <c r="O2" s="11"/>
      <c r="P2" s="11"/>
      <c r="Q2" s="35"/>
      <c r="R2" s="1" t="s">
        <v>55</v>
      </c>
    </row>
    <row r="3" s="1" customFormat="1" spans="1:18">
      <c r="A3" s="12" t="s">
        <v>64</v>
      </c>
      <c r="B3" s="13" t="s">
        <v>42</v>
      </c>
      <c r="C3" s="14"/>
      <c r="D3" s="14"/>
      <c r="E3" s="15"/>
      <c r="F3" s="9"/>
      <c r="G3" s="10"/>
      <c r="H3" s="11"/>
      <c r="I3" s="9"/>
      <c r="J3" s="10"/>
      <c r="K3" s="11"/>
      <c r="L3" s="9"/>
      <c r="M3" s="10"/>
      <c r="N3" s="11"/>
      <c r="O3" s="11"/>
      <c r="P3" s="11"/>
      <c r="Q3" s="35"/>
      <c r="R3" s="1" t="s">
        <v>56</v>
      </c>
    </row>
    <row r="4" s="1" customFormat="1" ht="18" customHeight="1" spans="1:18">
      <c r="A4" s="12" t="s">
        <v>65</v>
      </c>
      <c r="B4" s="13">
        <f>COUNTA(A11:A33)</f>
        <v>23</v>
      </c>
      <c r="C4" s="14"/>
      <c r="D4" s="14"/>
      <c r="E4" s="15"/>
      <c r="F4" s="9"/>
      <c r="G4" s="10"/>
      <c r="H4" s="11"/>
      <c r="I4" s="9"/>
      <c r="J4" s="10"/>
      <c r="K4" s="11"/>
      <c r="L4" s="9"/>
      <c r="M4" s="10"/>
      <c r="N4" s="11"/>
      <c r="O4" s="11"/>
      <c r="P4" s="11"/>
      <c r="Q4" s="35"/>
      <c r="R4" s="1" t="s">
        <v>57</v>
      </c>
    </row>
    <row r="5" s="1" customFormat="1" ht="19.5" customHeight="1" spans="1:18">
      <c r="A5" s="16" t="s">
        <v>66</v>
      </c>
      <c r="B5" s="17" t="s">
        <v>55</v>
      </c>
      <c r="C5" s="17" t="s">
        <v>56</v>
      </c>
      <c r="D5" s="17" t="s">
        <v>57</v>
      </c>
      <c r="E5" s="18" t="s">
        <v>58</v>
      </c>
      <c r="F5" s="19"/>
      <c r="G5" s="19"/>
      <c r="H5" s="20"/>
      <c r="I5" s="19"/>
      <c r="J5" s="19"/>
      <c r="K5" s="20"/>
      <c r="L5" s="19"/>
      <c r="M5" s="19"/>
      <c r="N5" s="20"/>
      <c r="O5" s="20"/>
      <c r="P5" s="20"/>
      <c r="Q5" s="36"/>
      <c r="R5" s="1" t="s">
        <v>58</v>
      </c>
    </row>
    <row r="6" s="1" customFormat="1" ht="15" customHeight="1" spans="1:17">
      <c r="A6" s="16" t="s">
        <v>67</v>
      </c>
      <c r="B6" s="21">
        <f>COUNTIF($F11:$F33,"Passed")</f>
        <v>23</v>
      </c>
      <c r="C6" s="21">
        <f>COUNTIF($F11:$F33,"Failed")</f>
        <v>0</v>
      </c>
      <c r="D6" s="21">
        <f>COUNTIF($F11:$F33,"Pending")</f>
        <v>0</v>
      </c>
      <c r="E6" s="22">
        <f>COUNTIF($F11:$F33,"N/A")</f>
        <v>0</v>
      </c>
      <c r="F6" s="23"/>
      <c r="G6" s="23"/>
      <c r="H6" s="20"/>
      <c r="I6" s="23"/>
      <c r="J6" s="23"/>
      <c r="K6" s="20"/>
      <c r="L6" s="23"/>
      <c r="M6" s="23"/>
      <c r="N6" s="20"/>
      <c r="O6" s="20"/>
      <c r="P6" s="20"/>
      <c r="Q6" s="36"/>
    </row>
    <row r="7" s="1" customFormat="1" ht="15" customHeight="1" spans="1:17">
      <c r="A7" s="16" t="s">
        <v>68</v>
      </c>
      <c r="B7" s="21">
        <f>COUNTIF($F11:$F33,"Passed")</f>
        <v>23</v>
      </c>
      <c r="C7" s="21">
        <f>COUNTIF($F11:$F33,"Failed")</f>
        <v>0</v>
      </c>
      <c r="D7" s="21">
        <f>COUNTIF($F11:$F33,"Pending")</f>
        <v>0</v>
      </c>
      <c r="E7" s="22">
        <f>COUNTIF($F11:$F33,"N/A")</f>
        <v>0</v>
      </c>
      <c r="F7" s="23"/>
      <c r="G7" s="23"/>
      <c r="H7" s="20"/>
      <c r="I7" s="23"/>
      <c r="J7" s="23"/>
      <c r="K7" s="20"/>
      <c r="L7" s="23"/>
      <c r="M7" s="23"/>
      <c r="N7" s="20"/>
      <c r="O7" s="20"/>
      <c r="P7" s="20"/>
      <c r="Q7" s="36"/>
    </row>
    <row r="8" s="1" customFormat="1" ht="15" customHeight="1" spans="1:17">
      <c r="A8" s="24" t="s">
        <v>69</v>
      </c>
      <c r="B8" s="25">
        <f>COUNTIF($F11:$F33,"Passed")</f>
        <v>23</v>
      </c>
      <c r="C8" s="25">
        <f>COUNTIF($F11:$F33,"Failed")</f>
        <v>0</v>
      </c>
      <c r="D8" s="25">
        <f>COUNTIF($F11:$F33,"Pending")</f>
        <v>0</v>
      </c>
      <c r="E8" s="26">
        <f>COUNTIF($F11:$F33,"N/A")</f>
        <v>0</v>
      </c>
      <c r="F8" s="23"/>
      <c r="G8" s="23"/>
      <c r="H8" s="20"/>
      <c r="I8" s="23"/>
      <c r="J8" s="23"/>
      <c r="K8" s="20"/>
      <c r="L8" s="23"/>
      <c r="M8" s="23"/>
      <c r="N8" s="20"/>
      <c r="O8" s="20"/>
      <c r="P8" s="20"/>
      <c r="Q8" s="36"/>
    </row>
    <row r="9" s="1" customFormat="1" ht="15" customHeight="1" spans="1:17">
      <c r="A9" s="20"/>
      <c r="B9" s="20"/>
      <c r="C9" s="20"/>
      <c r="D9" s="20"/>
      <c r="E9" s="20"/>
      <c r="F9" s="27"/>
      <c r="G9" s="20"/>
      <c r="H9" s="20"/>
      <c r="I9" s="27"/>
      <c r="J9" s="20"/>
      <c r="K9" s="20"/>
      <c r="L9" s="27"/>
      <c r="M9" s="20"/>
      <c r="N9" s="20"/>
      <c r="O9" s="20"/>
      <c r="P9" s="20"/>
      <c r="Q9" s="36"/>
    </row>
    <row r="10" s="1" customFormat="1" ht="25.5" customHeight="1" spans="1:17">
      <c r="A10" s="28" t="s">
        <v>70</v>
      </c>
      <c r="B10" s="28" t="s">
        <v>71</v>
      </c>
      <c r="C10" s="28" t="s">
        <v>72</v>
      </c>
      <c r="D10" s="28" t="s">
        <v>73</v>
      </c>
      <c r="E10" s="28" t="s">
        <v>74</v>
      </c>
      <c r="F10" s="28" t="s">
        <v>67</v>
      </c>
      <c r="G10" s="28" t="s">
        <v>75</v>
      </c>
      <c r="H10" s="28" t="s">
        <v>76</v>
      </c>
      <c r="I10" s="28" t="s">
        <v>68</v>
      </c>
      <c r="J10" s="28" t="s">
        <v>75</v>
      </c>
      <c r="K10" s="28" t="s">
        <v>76</v>
      </c>
      <c r="L10" s="28" t="s">
        <v>69</v>
      </c>
      <c r="M10" s="28" t="s">
        <v>75</v>
      </c>
      <c r="N10" s="28" t="s">
        <v>76</v>
      </c>
      <c r="O10" s="28" t="s">
        <v>77</v>
      </c>
      <c r="Q10" s="37"/>
    </row>
    <row r="11" s="1" customFormat="1" ht="15.75" customHeight="1" spans="1:17">
      <c r="A11" s="29" t="s">
        <v>182</v>
      </c>
      <c r="B11" s="29" t="s">
        <v>183</v>
      </c>
      <c r="C11" s="29" t="s">
        <v>184</v>
      </c>
      <c r="D11" s="29" t="s">
        <v>185</v>
      </c>
      <c r="E11" s="29" t="s">
        <v>33</v>
      </c>
      <c r="F11" s="30" t="s">
        <v>55</v>
      </c>
      <c r="G11" s="29" t="s">
        <v>8</v>
      </c>
      <c r="H11" s="29" t="s">
        <v>82</v>
      </c>
      <c r="I11" s="30" t="s">
        <v>55</v>
      </c>
      <c r="J11" s="29" t="s">
        <v>8</v>
      </c>
      <c r="K11" s="29" t="s">
        <v>82</v>
      </c>
      <c r="L11" s="30" t="s">
        <v>55</v>
      </c>
      <c r="M11" s="29" t="s">
        <v>8</v>
      </c>
      <c r="N11" s="29" t="s">
        <v>82</v>
      </c>
      <c r="O11" s="29" t="s">
        <v>186</v>
      </c>
      <c r="Q11" s="38"/>
    </row>
    <row r="12" s="2" customFormat="1" ht="121.05" customHeight="1" outlineLevel="1" spans="1:17">
      <c r="A12" s="31" t="s">
        <v>187</v>
      </c>
      <c r="B12" s="31" t="s">
        <v>183</v>
      </c>
      <c r="C12" s="31" t="s">
        <v>188</v>
      </c>
      <c r="D12" s="32" t="s">
        <v>189</v>
      </c>
      <c r="E12" s="32" t="s">
        <v>33</v>
      </c>
      <c r="F12" s="30" t="s">
        <v>55</v>
      </c>
      <c r="G12" s="31" t="s">
        <v>8</v>
      </c>
      <c r="H12" s="31" t="s">
        <v>82</v>
      </c>
      <c r="I12" s="30" t="s">
        <v>55</v>
      </c>
      <c r="J12" s="31" t="s">
        <v>8</v>
      </c>
      <c r="K12" s="31" t="s">
        <v>82</v>
      </c>
      <c r="L12" s="30" t="s">
        <v>55</v>
      </c>
      <c r="M12" s="31" t="s">
        <v>8</v>
      </c>
      <c r="N12" s="31" t="s">
        <v>82</v>
      </c>
      <c r="O12" s="32" t="s">
        <v>190</v>
      </c>
      <c r="Q12" s="39"/>
    </row>
    <row r="13" ht="39.6" outlineLevel="1" spans="1:17">
      <c r="A13" s="31" t="s">
        <v>191</v>
      </c>
      <c r="B13" s="31" t="s">
        <v>183</v>
      </c>
      <c r="C13" s="31" t="s">
        <v>192</v>
      </c>
      <c r="D13" s="32" t="s">
        <v>189</v>
      </c>
      <c r="E13" s="32" t="s">
        <v>33</v>
      </c>
      <c r="F13" s="30" t="s">
        <v>55</v>
      </c>
      <c r="G13" s="31" t="s">
        <v>8</v>
      </c>
      <c r="H13" s="31" t="s">
        <v>82</v>
      </c>
      <c r="I13" s="30" t="s">
        <v>55</v>
      </c>
      <c r="J13" s="31" t="s">
        <v>8</v>
      </c>
      <c r="K13" s="31" t="s">
        <v>82</v>
      </c>
      <c r="L13" s="30" t="s">
        <v>55</v>
      </c>
      <c r="M13" s="31" t="s">
        <v>8</v>
      </c>
      <c r="N13" s="31" t="s">
        <v>82</v>
      </c>
      <c r="O13" s="32" t="s">
        <v>190</v>
      </c>
      <c r="Q13" s="39"/>
    </row>
    <row r="14" ht="39.6" outlineLevel="1" spans="1:17">
      <c r="A14" s="31" t="s">
        <v>193</v>
      </c>
      <c r="B14" s="31" t="s">
        <v>183</v>
      </c>
      <c r="C14" s="31" t="s">
        <v>194</v>
      </c>
      <c r="D14" s="32" t="s">
        <v>189</v>
      </c>
      <c r="E14" s="32" t="s">
        <v>33</v>
      </c>
      <c r="F14" s="30" t="s">
        <v>55</v>
      </c>
      <c r="G14" s="31" t="s">
        <v>8</v>
      </c>
      <c r="H14" s="31" t="s">
        <v>82</v>
      </c>
      <c r="I14" s="30" t="s">
        <v>55</v>
      </c>
      <c r="J14" s="31" t="s">
        <v>8</v>
      </c>
      <c r="K14" s="31" t="s">
        <v>82</v>
      </c>
      <c r="L14" s="30" t="s">
        <v>55</v>
      </c>
      <c r="M14" s="31" t="s">
        <v>8</v>
      </c>
      <c r="N14" s="31" t="s">
        <v>82</v>
      </c>
      <c r="O14" s="32" t="s">
        <v>190</v>
      </c>
      <c r="Q14" s="39"/>
    </row>
    <row r="15" s="1" customFormat="1" ht="15.75" customHeight="1" spans="1:17">
      <c r="A15" s="29" t="s">
        <v>195</v>
      </c>
      <c r="B15" s="29" t="s">
        <v>183</v>
      </c>
      <c r="C15" s="29" t="s">
        <v>196</v>
      </c>
      <c r="D15" s="29" t="s">
        <v>189</v>
      </c>
      <c r="E15" s="29" t="s">
        <v>33</v>
      </c>
      <c r="F15" s="30" t="s">
        <v>55</v>
      </c>
      <c r="G15" s="29" t="s">
        <v>8</v>
      </c>
      <c r="H15" s="29" t="s">
        <v>82</v>
      </c>
      <c r="I15" s="30" t="s">
        <v>55</v>
      </c>
      <c r="J15" s="29" t="s">
        <v>8</v>
      </c>
      <c r="K15" s="29" t="s">
        <v>82</v>
      </c>
      <c r="L15" s="30" t="s">
        <v>55</v>
      </c>
      <c r="M15" s="29" t="s">
        <v>8</v>
      </c>
      <c r="N15" s="29" t="s">
        <v>82</v>
      </c>
      <c r="O15" s="29" t="s">
        <v>190</v>
      </c>
      <c r="Q15" s="38"/>
    </row>
    <row r="16" ht="39.6" outlineLevel="1" spans="1:17">
      <c r="A16" s="31" t="s">
        <v>197</v>
      </c>
      <c r="B16" s="31" t="s">
        <v>183</v>
      </c>
      <c r="C16" s="31" t="s">
        <v>198</v>
      </c>
      <c r="D16" s="31" t="s">
        <v>189</v>
      </c>
      <c r="E16" s="31" t="s">
        <v>33</v>
      </c>
      <c r="F16" s="30" t="s">
        <v>55</v>
      </c>
      <c r="G16" s="31" t="s">
        <v>8</v>
      </c>
      <c r="H16" s="31" t="s">
        <v>82</v>
      </c>
      <c r="I16" s="30" t="s">
        <v>55</v>
      </c>
      <c r="J16" s="31" t="s">
        <v>8</v>
      </c>
      <c r="K16" s="31" t="s">
        <v>82</v>
      </c>
      <c r="L16" s="30" t="s">
        <v>55</v>
      </c>
      <c r="M16" s="31" t="s">
        <v>8</v>
      </c>
      <c r="N16" s="31" t="s">
        <v>82</v>
      </c>
      <c r="O16" s="32" t="s">
        <v>190</v>
      </c>
      <c r="Q16" s="39"/>
    </row>
    <row r="17" ht="39.6" outlineLevel="1" spans="1:15">
      <c r="A17" s="31" t="s">
        <v>199</v>
      </c>
      <c r="B17" s="31" t="s">
        <v>183</v>
      </c>
      <c r="C17" s="31" t="s">
        <v>200</v>
      </c>
      <c r="D17" s="31" t="s">
        <v>189</v>
      </c>
      <c r="E17" s="31" t="s">
        <v>33</v>
      </c>
      <c r="F17" s="30" t="s">
        <v>55</v>
      </c>
      <c r="G17" s="32" t="s">
        <v>8</v>
      </c>
      <c r="H17" s="32" t="s">
        <v>82</v>
      </c>
      <c r="I17" s="30" t="s">
        <v>55</v>
      </c>
      <c r="J17" s="32" t="s">
        <v>8</v>
      </c>
      <c r="K17" s="32" t="s">
        <v>82</v>
      </c>
      <c r="L17" s="30" t="s">
        <v>55</v>
      </c>
      <c r="M17" s="32" t="s">
        <v>8</v>
      </c>
      <c r="N17" s="32" t="s">
        <v>82</v>
      </c>
      <c r="O17" s="32" t="s">
        <v>190</v>
      </c>
    </row>
    <row r="18" s="1" customFormat="1" ht="15.75" customHeight="1" spans="1:17">
      <c r="A18" s="29" t="s">
        <v>201</v>
      </c>
      <c r="B18" s="29" t="s">
        <v>183</v>
      </c>
      <c r="C18" s="29" t="s">
        <v>202</v>
      </c>
      <c r="D18" s="29" t="s">
        <v>189</v>
      </c>
      <c r="E18" s="29" t="s">
        <v>33</v>
      </c>
      <c r="F18" s="30" t="s">
        <v>55</v>
      </c>
      <c r="G18" s="29" t="s">
        <v>8</v>
      </c>
      <c r="H18" s="29" t="s">
        <v>82</v>
      </c>
      <c r="I18" s="30" t="s">
        <v>55</v>
      </c>
      <c r="J18" s="29" t="s">
        <v>8</v>
      </c>
      <c r="K18" s="29" t="s">
        <v>82</v>
      </c>
      <c r="L18" s="30" t="s">
        <v>55</v>
      </c>
      <c r="M18" s="29" t="s">
        <v>8</v>
      </c>
      <c r="N18" s="29" t="s">
        <v>82</v>
      </c>
      <c r="O18" s="29" t="s">
        <v>190</v>
      </c>
      <c r="Q18" s="38"/>
    </row>
    <row r="19" ht="39.6" outlineLevel="1" spans="1:17">
      <c r="A19" s="31" t="s">
        <v>203</v>
      </c>
      <c r="B19" s="31" t="s">
        <v>183</v>
      </c>
      <c r="C19" s="31" t="s">
        <v>204</v>
      </c>
      <c r="D19" s="31" t="s">
        <v>189</v>
      </c>
      <c r="E19" s="31" t="s">
        <v>33</v>
      </c>
      <c r="F19" s="30" t="s">
        <v>55</v>
      </c>
      <c r="G19" s="31" t="s">
        <v>8</v>
      </c>
      <c r="H19" s="31" t="s">
        <v>82</v>
      </c>
      <c r="I19" s="30" t="s">
        <v>55</v>
      </c>
      <c r="J19" s="31" t="s">
        <v>8</v>
      </c>
      <c r="K19" s="31" t="s">
        <v>82</v>
      </c>
      <c r="L19" s="30" t="s">
        <v>55</v>
      </c>
      <c r="M19" s="31" t="s">
        <v>8</v>
      </c>
      <c r="N19" s="31" t="s">
        <v>82</v>
      </c>
      <c r="O19" s="32" t="s">
        <v>190</v>
      </c>
      <c r="Q19" s="39"/>
    </row>
    <row r="20" ht="39.6" spans="1:15">
      <c r="A20" s="33" t="s">
        <v>205</v>
      </c>
      <c r="B20" s="33" t="s">
        <v>183</v>
      </c>
      <c r="C20" s="33" t="s">
        <v>206</v>
      </c>
      <c r="D20" s="33" t="s">
        <v>189</v>
      </c>
      <c r="E20" s="33" t="s">
        <v>33</v>
      </c>
      <c r="F20" s="34" t="s">
        <v>55</v>
      </c>
      <c r="G20" s="33" t="s">
        <v>8</v>
      </c>
      <c r="H20" s="33" t="s">
        <v>82</v>
      </c>
      <c r="I20" s="34" t="s">
        <v>55</v>
      </c>
      <c r="J20" s="33" t="s">
        <v>8</v>
      </c>
      <c r="K20" s="33" t="s">
        <v>82</v>
      </c>
      <c r="L20" s="34" t="s">
        <v>55</v>
      </c>
      <c r="M20" s="33" t="s">
        <v>8</v>
      </c>
      <c r="N20" s="33" t="s">
        <v>82</v>
      </c>
      <c r="O20" s="33" t="s">
        <v>190</v>
      </c>
    </row>
    <row r="21" ht="39.6" spans="1:15">
      <c r="A21" s="33" t="s">
        <v>207</v>
      </c>
      <c r="B21" s="33" t="s">
        <v>208</v>
      </c>
      <c r="C21" s="33" t="s">
        <v>209</v>
      </c>
      <c r="D21" s="33" t="s">
        <v>210</v>
      </c>
      <c r="E21" s="33" t="s">
        <v>33</v>
      </c>
      <c r="F21" s="34" t="s">
        <v>55</v>
      </c>
      <c r="G21" s="33" t="s">
        <v>8</v>
      </c>
      <c r="H21" s="33" t="s">
        <v>82</v>
      </c>
      <c r="I21" s="34" t="s">
        <v>55</v>
      </c>
      <c r="J21" s="33" t="s">
        <v>8</v>
      </c>
      <c r="K21" s="33" t="s">
        <v>82</v>
      </c>
      <c r="L21" s="34" t="s">
        <v>55</v>
      </c>
      <c r="M21" s="33" t="s">
        <v>8</v>
      </c>
      <c r="N21" s="33" t="s">
        <v>82</v>
      </c>
      <c r="O21" s="33" t="s">
        <v>211</v>
      </c>
    </row>
    <row r="22" ht="52.8" spans="1:15">
      <c r="A22" s="33" t="s">
        <v>212</v>
      </c>
      <c r="B22" s="33" t="s">
        <v>208</v>
      </c>
      <c r="C22" s="33" t="s">
        <v>213</v>
      </c>
      <c r="D22" s="33" t="s">
        <v>210</v>
      </c>
      <c r="E22" s="33" t="s">
        <v>33</v>
      </c>
      <c r="F22" s="34" t="s">
        <v>55</v>
      </c>
      <c r="G22" s="33" t="s">
        <v>8</v>
      </c>
      <c r="H22" s="33" t="s">
        <v>82</v>
      </c>
      <c r="I22" s="34" t="s">
        <v>55</v>
      </c>
      <c r="J22" s="33" t="s">
        <v>8</v>
      </c>
      <c r="K22" s="33" t="s">
        <v>82</v>
      </c>
      <c r="L22" s="34" t="s">
        <v>55</v>
      </c>
      <c r="M22" s="33" t="s">
        <v>8</v>
      </c>
      <c r="N22" s="33" t="s">
        <v>82</v>
      </c>
      <c r="O22" s="33" t="s">
        <v>211</v>
      </c>
    </row>
    <row r="23" ht="39.6" spans="1:15">
      <c r="A23" s="33" t="s">
        <v>214</v>
      </c>
      <c r="B23" s="33" t="s">
        <v>208</v>
      </c>
      <c r="C23" s="33" t="s">
        <v>215</v>
      </c>
      <c r="D23" s="33" t="s">
        <v>210</v>
      </c>
      <c r="E23" s="33" t="s">
        <v>33</v>
      </c>
      <c r="F23" s="34" t="s">
        <v>55</v>
      </c>
      <c r="G23" s="33" t="s">
        <v>8</v>
      </c>
      <c r="H23" s="33" t="s">
        <v>82</v>
      </c>
      <c r="I23" s="34" t="s">
        <v>55</v>
      </c>
      <c r="J23" s="33" t="s">
        <v>8</v>
      </c>
      <c r="K23" s="33" t="s">
        <v>82</v>
      </c>
      <c r="L23" s="34" t="s">
        <v>55</v>
      </c>
      <c r="M23" s="33" t="s">
        <v>8</v>
      </c>
      <c r="N23" s="33" t="s">
        <v>82</v>
      </c>
      <c r="O23" s="33" t="s">
        <v>211</v>
      </c>
    </row>
    <row r="24" ht="39.6" spans="1:15">
      <c r="A24" s="33" t="s">
        <v>216</v>
      </c>
      <c r="B24" s="33" t="s">
        <v>208</v>
      </c>
      <c r="C24" s="33" t="s">
        <v>217</v>
      </c>
      <c r="D24" s="33" t="s">
        <v>218</v>
      </c>
      <c r="E24" s="33" t="s">
        <v>33</v>
      </c>
      <c r="F24" s="34" t="s">
        <v>55</v>
      </c>
      <c r="G24" s="33" t="s">
        <v>8</v>
      </c>
      <c r="H24" s="33" t="s">
        <v>82</v>
      </c>
      <c r="I24" s="34" t="s">
        <v>55</v>
      </c>
      <c r="J24" s="33" t="s">
        <v>8</v>
      </c>
      <c r="K24" s="33" t="s">
        <v>82</v>
      </c>
      <c r="L24" s="34" t="s">
        <v>55</v>
      </c>
      <c r="M24" s="33" t="s">
        <v>8</v>
      </c>
      <c r="N24" s="33" t="s">
        <v>82</v>
      </c>
      <c r="O24" s="33" t="s">
        <v>156</v>
      </c>
    </row>
    <row r="25" ht="39.6" spans="1:15">
      <c r="A25" s="33" t="s">
        <v>219</v>
      </c>
      <c r="B25" s="33" t="s">
        <v>208</v>
      </c>
      <c r="C25" s="33" t="s">
        <v>220</v>
      </c>
      <c r="D25" s="33" t="s">
        <v>218</v>
      </c>
      <c r="E25" s="33" t="s">
        <v>33</v>
      </c>
      <c r="F25" s="34" t="s">
        <v>55</v>
      </c>
      <c r="G25" s="33" t="s">
        <v>8</v>
      </c>
      <c r="H25" s="33" t="s">
        <v>82</v>
      </c>
      <c r="I25" s="34" t="s">
        <v>55</v>
      </c>
      <c r="J25" s="33" t="s">
        <v>8</v>
      </c>
      <c r="K25" s="33" t="s">
        <v>82</v>
      </c>
      <c r="L25" s="34" t="s">
        <v>55</v>
      </c>
      <c r="M25" s="33" t="s">
        <v>8</v>
      </c>
      <c r="N25" s="33" t="s">
        <v>82</v>
      </c>
      <c r="O25" s="33" t="s">
        <v>156</v>
      </c>
    </row>
    <row r="26" ht="39.6" spans="1:15">
      <c r="A26" s="33" t="s">
        <v>221</v>
      </c>
      <c r="B26" s="33" t="s">
        <v>208</v>
      </c>
      <c r="C26" s="33" t="s">
        <v>222</v>
      </c>
      <c r="D26" s="33" t="s">
        <v>218</v>
      </c>
      <c r="E26" s="33" t="s">
        <v>33</v>
      </c>
      <c r="F26" s="34" t="s">
        <v>55</v>
      </c>
      <c r="G26" s="33" t="s">
        <v>8</v>
      </c>
      <c r="H26" s="33" t="s">
        <v>82</v>
      </c>
      <c r="I26" s="34" t="s">
        <v>55</v>
      </c>
      <c r="J26" s="33" t="s">
        <v>8</v>
      </c>
      <c r="K26" s="33" t="s">
        <v>82</v>
      </c>
      <c r="L26" s="34" t="s">
        <v>55</v>
      </c>
      <c r="M26" s="33" t="s">
        <v>8</v>
      </c>
      <c r="N26" s="33" t="s">
        <v>82</v>
      </c>
      <c r="O26" s="33" t="s">
        <v>156</v>
      </c>
    </row>
    <row r="27" ht="39.6" spans="1:15">
      <c r="A27" s="33" t="s">
        <v>223</v>
      </c>
      <c r="B27" s="33" t="s">
        <v>208</v>
      </c>
      <c r="C27" s="33" t="s">
        <v>224</v>
      </c>
      <c r="D27" s="33" t="s">
        <v>218</v>
      </c>
      <c r="E27" s="33" t="s">
        <v>33</v>
      </c>
      <c r="F27" s="34" t="s">
        <v>55</v>
      </c>
      <c r="G27" s="33" t="s">
        <v>8</v>
      </c>
      <c r="H27" s="33" t="s">
        <v>82</v>
      </c>
      <c r="I27" s="34" t="s">
        <v>55</v>
      </c>
      <c r="J27" s="33" t="s">
        <v>8</v>
      </c>
      <c r="K27" s="33" t="s">
        <v>82</v>
      </c>
      <c r="L27" s="34" t="s">
        <v>55</v>
      </c>
      <c r="M27" s="33" t="s">
        <v>8</v>
      </c>
      <c r="N27" s="33" t="s">
        <v>82</v>
      </c>
      <c r="O27" s="33" t="s">
        <v>159</v>
      </c>
    </row>
    <row r="28" ht="39.6" spans="1:15">
      <c r="A28" s="33" t="s">
        <v>225</v>
      </c>
      <c r="B28" s="33" t="s">
        <v>208</v>
      </c>
      <c r="C28" s="33" t="s">
        <v>226</v>
      </c>
      <c r="D28" s="33" t="s">
        <v>218</v>
      </c>
      <c r="E28" s="33" t="s">
        <v>33</v>
      </c>
      <c r="F28" s="34" t="s">
        <v>55</v>
      </c>
      <c r="G28" s="33" t="s">
        <v>8</v>
      </c>
      <c r="H28" s="33" t="s">
        <v>82</v>
      </c>
      <c r="I28" s="34" t="s">
        <v>55</v>
      </c>
      <c r="J28" s="33" t="s">
        <v>8</v>
      </c>
      <c r="K28" s="33" t="s">
        <v>82</v>
      </c>
      <c r="L28" s="34" t="s">
        <v>55</v>
      </c>
      <c r="M28" s="33" t="s">
        <v>8</v>
      </c>
      <c r="N28" s="33" t="s">
        <v>82</v>
      </c>
      <c r="O28" s="33" t="s">
        <v>159</v>
      </c>
    </row>
    <row r="29" ht="39.6" spans="1:15">
      <c r="A29" s="33" t="s">
        <v>227</v>
      </c>
      <c r="B29" s="33" t="s">
        <v>228</v>
      </c>
      <c r="C29" s="33" t="s">
        <v>229</v>
      </c>
      <c r="D29" s="33" t="s">
        <v>230</v>
      </c>
      <c r="E29" s="33" t="s">
        <v>33</v>
      </c>
      <c r="F29" s="34" t="s">
        <v>55</v>
      </c>
      <c r="G29" s="33" t="s">
        <v>8</v>
      </c>
      <c r="H29" s="33" t="s">
        <v>82</v>
      </c>
      <c r="I29" s="34" t="s">
        <v>55</v>
      </c>
      <c r="J29" s="33" t="s">
        <v>8</v>
      </c>
      <c r="K29" s="33" t="s">
        <v>82</v>
      </c>
      <c r="L29" s="34" t="s">
        <v>55</v>
      </c>
      <c r="M29" s="33" t="s">
        <v>8</v>
      </c>
      <c r="N29" s="33" t="s">
        <v>82</v>
      </c>
      <c r="O29" s="33" t="s">
        <v>151</v>
      </c>
    </row>
    <row r="30" ht="39.6" spans="1:15">
      <c r="A30" s="33" t="s">
        <v>231</v>
      </c>
      <c r="B30" s="33" t="s">
        <v>228</v>
      </c>
      <c r="C30" s="33" t="s">
        <v>202</v>
      </c>
      <c r="D30" s="33" t="s">
        <v>232</v>
      </c>
      <c r="E30" s="33" t="s">
        <v>33</v>
      </c>
      <c r="F30" s="34" t="s">
        <v>55</v>
      </c>
      <c r="G30" s="33" t="s">
        <v>8</v>
      </c>
      <c r="H30" s="33" t="s">
        <v>82</v>
      </c>
      <c r="I30" s="34" t="s">
        <v>55</v>
      </c>
      <c r="J30" s="33" t="s">
        <v>8</v>
      </c>
      <c r="K30" s="33" t="s">
        <v>82</v>
      </c>
      <c r="L30" s="34" t="s">
        <v>55</v>
      </c>
      <c r="M30" s="33" t="s">
        <v>8</v>
      </c>
      <c r="N30" s="33" t="s">
        <v>82</v>
      </c>
      <c r="O30" s="33" t="s">
        <v>233</v>
      </c>
    </row>
    <row r="31" ht="39.6" spans="1:15">
      <c r="A31" s="33" t="s">
        <v>234</v>
      </c>
      <c r="B31" s="33" t="s">
        <v>228</v>
      </c>
      <c r="C31" s="33" t="s">
        <v>235</v>
      </c>
      <c r="D31" s="33" t="s">
        <v>232</v>
      </c>
      <c r="E31" s="33" t="s">
        <v>33</v>
      </c>
      <c r="F31" s="34" t="s">
        <v>55</v>
      </c>
      <c r="G31" s="33" t="s">
        <v>8</v>
      </c>
      <c r="H31" s="33" t="s">
        <v>82</v>
      </c>
      <c r="I31" s="34" t="s">
        <v>55</v>
      </c>
      <c r="J31" s="33" t="s">
        <v>8</v>
      </c>
      <c r="K31" s="33" t="s">
        <v>82</v>
      </c>
      <c r="L31" s="34" t="s">
        <v>55</v>
      </c>
      <c r="M31" s="33" t="s">
        <v>8</v>
      </c>
      <c r="N31" s="33" t="s">
        <v>82</v>
      </c>
      <c r="O31" s="33" t="s">
        <v>233</v>
      </c>
    </row>
    <row r="32" ht="39.6" spans="1:15">
      <c r="A32" s="33" t="s">
        <v>236</v>
      </c>
      <c r="B32" s="33" t="s">
        <v>228</v>
      </c>
      <c r="C32" s="33" t="s">
        <v>106</v>
      </c>
      <c r="D32" s="33" t="s">
        <v>232</v>
      </c>
      <c r="E32" s="33" t="s">
        <v>33</v>
      </c>
      <c r="F32" s="34" t="s">
        <v>55</v>
      </c>
      <c r="G32" s="33" t="s">
        <v>8</v>
      </c>
      <c r="H32" s="33" t="s">
        <v>82</v>
      </c>
      <c r="I32" s="34" t="s">
        <v>55</v>
      </c>
      <c r="J32" s="33" t="s">
        <v>8</v>
      </c>
      <c r="K32" s="33" t="s">
        <v>82</v>
      </c>
      <c r="L32" s="34" t="s">
        <v>55</v>
      </c>
      <c r="M32" s="33" t="s">
        <v>8</v>
      </c>
      <c r="N32" s="33" t="s">
        <v>82</v>
      </c>
      <c r="O32" s="33" t="s">
        <v>233</v>
      </c>
    </row>
    <row r="33" ht="39.6" spans="1:15">
      <c r="A33" s="33" t="s">
        <v>237</v>
      </c>
      <c r="B33" s="33" t="s">
        <v>228</v>
      </c>
      <c r="C33" s="33" t="s">
        <v>238</v>
      </c>
      <c r="D33" s="33" t="s">
        <v>232</v>
      </c>
      <c r="E33" s="33" t="s">
        <v>33</v>
      </c>
      <c r="F33" s="34" t="s">
        <v>55</v>
      </c>
      <c r="G33" s="33" t="s">
        <v>8</v>
      </c>
      <c r="H33" s="33" t="s">
        <v>82</v>
      </c>
      <c r="I33" s="34" t="s">
        <v>55</v>
      </c>
      <c r="J33" s="33" t="s">
        <v>8</v>
      </c>
      <c r="K33" s="33" t="s">
        <v>82</v>
      </c>
      <c r="L33" s="34" t="s">
        <v>55</v>
      </c>
      <c r="M33" s="33" t="s">
        <v>8</v>
      </c>
      <c r="N33" s="33" t="s">
        <v>82</v>
      </c>
      <c r="O33" s="33" t="s">
        <v>233</v>
      </c>
    </row>
  </sheetData>
  <mergeCells count="3">
    <mergeCell ref="B2:E2"/>
    <mergeCell ref="B3:E3"/>
    <mergeCell ref="B4:E4"/>
  </mergeCells>
  <pageMargins left="0.747916666666667" right="0.25" top="0.75" bottom="0.984027777777778" header="0.5" footer="0.5"/>
  <pageSetup paperSize="9" firstPageNumber="0" orientation="landscape" useFirstPageNumber="1" horizontalDpi="300" verticalDpi="300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4"/>
  <sheetViews>
    <sheetView topLeftCell="D1" workbookViewId="0">
      <selection activeCell="I9" sqref="I9"/>
    </sheetView>
  </sheetViews>
  <sheetFormatPr defaultColWidth="9" defaultRowHeight="13.2"/>
  <cols>
    <col min="1" max="1" width="23.5555555555556" style="3" customWidth="1"/>
    <col min="2" max="2" width="21.2222222222222" style="3" customWidth="1"/>
    <col min="3" max="3" width="25.6666666666667" style="3" customWidth="1"/>
    <col min="4" max="4" width="59.8888888888889" style="3" customWidth="1"/>
    <col min="5" max="5" width="29.6666666666667" style="3" customWidth="1"/>
    <col min="6" max="6" width="8.77777777777778" style="3" customWidth="1"/>
    <col min="7" max="7" width="10.1111111111111" style="3" customWidth="1" outlineLevel="1"/>
    <col min="8" max="8" width="15.1111111111111" style="3" customWidth="1" outlineLevel="1"/>
    <col min="9" max="9" width="8.77777777777778" style="3" customWidth="1"/>
    <col min="10" max="10" width="10.1111111111111" style="3" customWidth="1" outlineLevel="1"/>
    <col min="11" max="11" width="15.1111111111111" style="3" customWidth="1" outlineLevel="1"/>
    <col min="12" max="12" width="8.77777777777778" style="3" customWidth="1"/>
    <col min="13" max="13" width="10.1111111111111" style="3" customWidth="1" outlineLevel="1"/>
    <col min="14" max="14" width="15.1111111111111" style="3" customWidth="1" outlineLevel="1"/>
    <col min="15" max="15" width="28.7777777777778" style="3" customWidth="1"/>
    <col min="16" max="16" width="10.1296296296296" style="3" customWidth="1"/>
    <col min="17" max="17" width="8.12962962962963" style="4" customWidth="1"/>
    <col min="18" max="18" width="7.66666666666667" style="3" hidden="1" customWidth="1"/>
    <col min="19" max="16384" width="9" style="3" customWidth="1"/>
  </cols>
  <sheetData>
    <row r="1" ht="13.95" customHeight="1"/>
    <row r="2" s="1" customFormat="1" ht="15" customHeight="1" spans="1:18">
      <c r="A2" s="5" t="s">
        <v>63</v>
      </c>
      <c r="B2" s="6" t="s">
        <v>44</v>
      </c>
      <c r="C2" s="7"/>
      <c r="D2" s="7"/>
      <c r="E2" s="8"/>
      <c r="F2" s="9"/>
      <c r="G2" s="10"/>
      <c r="H2" s="11"/>
      <c r="I2" s="9"/>
      <c r="J2" s="10"/>
      <c r="K2" s="11"/>
      <c r="L2" s="9"/>
      <c r="M2" s="10"/>
      <c r="N2" s="11"/>
      <c r="O2" s="11"/>
      <c r="P2" s="11"/>
      <c r="Q2" s="35"/>
      <c r="R2" s="1" t="s">
        <v>55</v>
      </c>
    </row>
    <row r="3" s="1" customFormat="1" spans="1:18">
      <c r="A3" s="12" t="s">
        <v>64</v>
      </c>
      <c r="B3" s="13" t="s">
        <v>45</v>
      </c>
      <c r="C3" s="14"/>
      <c r="D3" s="14"/>
      <c r="E3" s="15"/>
      <c r="F3" s="9"/>
      <c r="G3" s="10"/>
      <c r="H3" s="11"/>
      <c r="I3" s="9"/>
      <c r="J3" s="10"/>
      <c r="K3" s="11"/>
      <c r="L3" s="9"/>
      <c r="M3" s="10"/>
      <c r="N3" s="11"/>
      <c r="O3" s="11"/>
      <c r="P3" s="11"/>
      <c r="Q3" s="35"/>
      <c r="R3" s="1" t="s">
        <v>56</v>
      </c>
    </row>
    <row r="4" s="1" customFormat="1" ht="18" customHeight="1" spans="1:18">
      <c r="A4" s="12" t="s">
        <v>65</v>
      </c>
      <c r="B4" s="13">
        <f>COUNTA(A11:A24)</f>
        <v>14</v>
      </c>
      <c r="C4" s="14"/>
      <c r="D4" s="14"/>
      <c r="E4" s="15"/>
      <c r="F4" s="9"/>
      <c r="G4" s="10"/>
      <c r="H4" s="11"/>
      <c r="I4" s="9"/>
      <c r="J4" s="10"/>
      <c r="K4" s="11"/>
      <c r="L4" s="9"/>
      <c r="M4" s="10"/>
      <c r="N4" s="11"/>
      <c r="O4" s="11"/>
      <c r="P4" s="11"/>
      <c r="Q4" s="35"/>
      <c r="R4" s="1" t="s">
        <v>57</v>
      </c>
    </row>
    <row r="5" s="1" customFormat="1" ht="19.5" customHeight="1" spans="1:18">
      <c r="A5" s="16" t="s">
        <v>66</v>
      </c>
      <c r="B5" s="17" t="s">
        <v>55</v>
      </c>
      <c r="C5" s="17" t="s">
        <v>56</v>
      </c>
      <c r="D5" s="17" t="s">
        <v>57</v>
      </c>
      <c r="E5" s="18" t="s">
        <v>58</v>
      </c>
      <c r="F5" s="19"/>
      <c r="G5" s="19"/>
      <c r="H5" s="20"/>
      <c r="I5" s="19"/>
      <c r="J5" s="19"/>
      <c r="K5" s="20"/>
      <c r="L5" s="19"/>
      <c r="M5" s="19"/>
      <c r="N5" s="20"/>
      <c r="O5" s="20"/>
      <c r="P5" s="20"/>
      <c r="Q5" s="36"/>
      <c r="R5" s="1" t="s">
        <v>58</v>
      </c>
    </row>
    <row r="6" s="1" customFormat="1" ht="15" customHeight="1" spans="1:17">
      <c r="A6" s="16" t="s">
        <v>67</v>
      </c>
      <c r="B6" s="21">
        <f>COUNTIF($F11:$F24,"Passed")</f>
        <v>14</v>
      </c>
      <c r="C6" s="21">
        <f>COUNTIF($F11:$F24,"Failed")</f>
        <v>0</v>
      </c>
      <c r="D6" s="21">
        <f>COUNTIF($F11:$F24,"Pending")</f>
        <v>0</v>
      </c>
      <c r="E6" s="22">
        <f>COUNTIF($F11:$F24,"N/A")</f>
        <v>0</v>
      </c>
      <c r="F6" s="23"/>
      <c r="G6" s="23"/>
      <c r="H6" s="20"/>
      <c r="I6" s="23"/>
      <c r="J6" s="23"/>
      <c r="K6" s="20"/>
      <c r="L6" s="23"/>
      <c r="M6" s="23"/>
      <c r="N6" s="20"/>
      <c r="O6" s="20"/>
      <c r="P6" s="20"/>
      <c r="Q6" s="36"/>
    </row>
    <row r="7" s="1" customFormat="1" ht="15" customHeight="1" spans="1:17">
      <c r="A7" s="16" t="s">
        <v>68</v>
      </c>
      <c r="B7" s="21">
        <f>COUNTIF($F11:$F24,"Passed")</f>
        <v>14</v>
      </c>
      <c r="C7" s="21">
        <f>COUNTIF($F11:$F24,"Failed")</f>
        <v>0</v>
      </c>
      <c r="D7" s="21">
        <f>COUNTIF($F11:$F24,"Pending")</f>
        <v>0</v>
      </c>
      <c r="E7" s="22">
        <f>COUNTIF($F11:$F24,"N/A")</f>
        <v>0</v>
      </c>
      <c r="F7" s="23"/>
      <c r="G7" s="23"/>
      <c r="H7" s="20"/>
      <c r="I7" s="23"/>
      <c r="J7" s="23"/>
      <c r="K7" s="20"/>
      <c r="L7" s="23"/>
      <c r="M7" s="23"/>
      <c r="N7" s="20"/>
      <c r="O7" s="20"/>
      <c r="P7" s="20"/>
      <c r="Q7" s="36"/>
    </row>
    <row r="8" s="1" customFormat="1" ht="15" customHeight="1" spans="1:17">
      <c r="A8" s="24" t="s">
        <v>69</v>
      </c>
      <c r="B8" s="25">
        <f>COUNTIF($F11:$F24,"Passed")</f>
        <v>14</v>
      </c>
      <c r="C8" s="25">
        <f>COUNTIF($F11:$F24,"Failed")</f>
        <v>0</v>
      </c>
      <c r="D8" s="25">
        <f>COUNTIF($F11:$F24,"Pending")</f>
        <v>0</v>
      </c>
      <c r="E8" s="26">
        <f>COUNTIF($F11:$F24,"N/A")</f>
        <v>0</v>
      </c>
      <c r="F8" s="23"/>
      <c r="G8" s="23"/>
      <c r="H8" s="20"/>
      <c r="I8" s="23"/>
      <c r="J8" s="23"/>
      <c r="K8" s="20"/>
      <c r="L8" s="23"/>
      <c r="M8" s="23"/>
      <c r="N8" s="20"/>
      <c r="O8" s="20"/>
      <c r="P8" s="20"/>
      <c r="Q8" s="36"/>
    </row>
    <row r="9" s="1" customFormat="1" ht="15" customHeight="1" spans="1:17">
      <c r="A9" s="20"/>
      <c r="B9" s="20"/>
      <c r="C9" s="20"/>
      <c r="D9" s="20"/>
      <c r="E9" s="20"/>
      <c r="F9" s="27"/>
      <c r="G9" s="20"/>
      <c r="H9" s="20"/>
      <c r="I9" s="27"/>
      <c r="J9" s="20"/>
      <c r="K9" s="20"/>
      <c r="L9" s="27"/>
      <c r="M9" s="20"/>
      <c r="N9" s="20"/>
      <c r="O9" s="20"/>
      <c r="P9" s="20"/>
      <c r="Q9" s="36"/>
    </row>
    <row r="10" s="1" customFormat="1" ht="25.5" customHeight="1" spans="1:17">
      <c r="A10" s="28" t="s">
        <v>70</v>
      </c>
      <c r="B10" s="28" t="s">
        <v>71</v>
      </c>
      <c r="C10" s="28" t="s">
        <v>72</v>
      </c>
      <c r="D10" s="28" t="s">
        <v>73</v>
      </c>
      <c r="E10" s="28" t="s">
        <v>74</v>
      </c>
      <c r="F10" s="28" t="s">
        <v>67</v>
      </c>
      <c r="G10" s="28" t="s">
        <v>75</v>
      </c>
      <c r="H10" s="28" t="s">
        <v>76</v>
      </c>
      <c r="I10" s="28" t="s">
        <v>68</v>
      </c>
      <c r="J10" s="28" t="s">
        <v>75</v>
      </c>
      <c r="K10" s="28" t="s">
        <v>76</v>
      </c>
      <c r="L10" s="28" t="s">
        <v>69</v>
      </c>
      <c r="M10" s="28" t="s">
        <v>75</v>
      </c>
      <c r="N10" s="28" t="s">
        <v>76</v>
      </c>
      <c r="O10" s="28" t="s">
        <v>77</v>
      </c>
      <c r="Q10" s="37"/>
    </row>
    <row r="11" s="1" customFormat="1" ht="15.75" customHeight="1" spans="1:17">
      <c r="A11" s="29" t="s">
        <v>239</v>
      </c>
      <c r="B11" s="29" t="s">
        <v>240</v>
      </c>
      <c r="C11" s="29" t="s">
        <v>241</v>
      </c>
      <c r="D11" s="29" t="s">
        <v>242</v>
      </c>
      <c r="E11" s="29" t="s">
        <v>33</v>
      </c>
      <c r="F11" s="30" t="s">
        <v>55</v>
      </c>
      <c r="G11" s="29" t="s">
        <v>8</v>
      </c>
      <c r="H11" s="29" t="s">
        <v>82</v>
      </c>
      <c r="I11" s="30" t="s">
        <v>55</v>
      </c>
      <c r="J11" s="29" t="s">
        <v>8</v>
      </c>
      <c r="K11" s="29" t="s">
        <v>82</v>
      </c>
      <c r="L11" s="30" t="s">
        <v>55</v>
      </c>
      <c r="M11" s="29" t="s">
        <v>8</v>
      </c>
      <c r="N11" s="29" t="s">
        <v>82</v>
      </c>
      <c r="O11" s="29" t="s">
        <v>99</v>
      </c>
      <c r="Q11" s="38"/>
    </row>
    <row r="12" s="2" customFormat="1" ht="121.05" customHeight="1" outlineLevel="1" spans="1:17">
      <c r="A12" s="31" t="s">
        <v>243</v>
      </c>
      <c r="B12" s="31" t="s">
        <v>240</v>
      </c>
      <c r="C12" s="31" t="s">
        <v>244</v>
      </c>
      <c r="D12" s="32" t="s">
        <v>242</v>
      </c>
      <c r="E12" s="32" t="s">
        <v>33</v>
      </c>
      <c r="F12" s="30" t="s">
        <v>55</v>
      </c>
      <c r="G12" s="31" t="s">
        <v>8</v>
      </c>
      <c r="H12" s="31" t="s">
        <v>82</v>
      </c>
      <c r="I12" s="30" t="s">
        <v>55</v>
      </c>
      <c r="J12" s="31" t="s">
        <v>8</v>
      </c>
      <c r="K12" s="31" t="s">
        <v>82</v>
      </c>
      <c r="L12" s="30" t="s">
        <v>55</v>
      </c>
      <c r="M12" s="31" t="s">
        <v>8</v>
      </c>
      <c r="N12" s="31" t="s">
        <v>82</v>
      </c>
      <c r="O12" s="32" t="s">
        <v>99</v>
      </c>
      <c r="Q12" s="39"/>
    </row>
    <row r="13" ht="39.6" outlineLevel="1" spans="1:17">
      <c r="A13" s="31" t="s">
        <v>245</v>
      </c>
      <c r="B13" s="31" t="s">
        <v>240</v>
      </c>
      <c r="C13" s="31" t="s">
        <v>246</v>
      </c>
      <c r="D13" s="32" t="s">
        <v>242</v>
      </c>
      <c r="E13" s="32" t="s">
        <v>33</v>
      </c>
      <c r="F13" s="30" t="s">
        <v>55</v>
      </c>
      <c r="G13" s="31" t="s">
        <v>8</v>
      </c>
      <c r="H13" s="31" t="s">
        <v>82</v>
      </c>
      <c r="I13" s="30" t="s">
        <v>55</v>
      </c>
      <c r="J13" s="31" t="s">
        <v>8</v>
      </c>
      <c r="K13" s="31" t="s">
        <v>82</v>
      </c>
      <c r="L13" s="30" t="s">
        <v>55</v>
      </c>
      <c r="M13" s="31" t="s">
        <v>8</v>
      </c>
      <c r="N13" s="31" t="s">
        <v>82</v>
      </c>
      <c r="O13" s="32" t="s">
        <v>99</v>
      </c>
      <c r="Q13" s="39"/>
    </row>
    <row r="14" ht="39.6" outlineLevel="1" spans="1:17">
      <c r="A14" s="31" t="s">
        <v>247</v>
      </c>
      <c r="B14" s="31" t="s">
        <v>240</v>
      </c>
      <c r="C14" s="31" t="s">
        <v>248</v>
      </c>
      <c r="D14" s="32" t="s">
        <v>242</v>
      </c>
      <c r="E14" s="32" t="s">
        <v>33</v>
      </c>
      <c r="F14" s="30" t="s">
        <v>55</v>
      </c>
      <c r="G14" s="31" t="s">
        <v>8</v>
      </c>
      <c r="H14" s="31" t="s">
        <v>82</v>
      </c>
      <c r="I14" s="30" t="s">
        <v>55</v>
      </c>
      <c r="J14" s="31" t="s">
        <v>8</v>
      </c>
      <c r="K14" s="31" t="s">
        <v>82</v>
      </c>
      <c r="L14" s="30" t="s">
        <v>55</v>
      </c>
      <c r="M14" s="31" t="s">
        <v>8</v>
      </c>
      <c r="N14" s="31" t="s">
        <v>82</v>
      </c>
      <c r="O14" s="32" t="s">
        <v>99</v>
      </c>
      <c r="Q14" s="39"/>
    </row>
    <row r="15" s="1" customFormat="1" ht="15.75" customHeight="1" spans="1:17">
      <c r="A15" s="29" t="s">
        <v>249</v>
      </c>
      <c r="B15" s="29" t="s">
        <v>240</v>
      </c>
      <c r="C15" s="29" t="s">
        <v>250</v>
      </c>
      <c r="D15" s="29" t="s">
        <v>251</v>
      </c>
      <c r="E15" s="29" t="s">
        <v>33</v>
      </c>
      <c r="F15" s="30" t="s">
        <v>55</v>
      </c>
      <c r="G15" s="29" t="s">
        <v>8</v>
      </c>
      <c r="H15" s="29" t="s">
        <v>82</v>
      </c>
      <c r="I15" s="30" t="s">
        <v>55</v>
      </c>
      <c r="J15" s="29" t="s">
        <v>8</v>
      </c>
      <c r="K15" s="29" t="s">
        <v>82</v>
      </c>
      <c r="L15" s="30" t="s">
        <v>55</v>
      </c>
      <c r="M15" s="29" t="s">
        <v>8</v>
      </c>
      <c r="N15" s="29" t="s">
        <v>82</v>
      </c>
      <c r="O15" s="29" t="s">
        <v>108</v>
      </c>
      <c r="Q15" s="38"/>
    </row>
    <row r="16" ht="39.6" outlineLevel="1" spans="1:17">
      <c r="A16" s="31" t="s">
        <v>252</v>
      </c>
      <c r="B16" s="31" t="s">
        <v>240</v>
      </c>
      <c r="C16" s="31" t="s">
        <v>106</v>
      </c>
      <c r="D16" s="31" t="s">
        <v>242</v>
      </c>
      <c r="E16" s="31" t="s">
        <v>33</v>
      </c>
      <c r="F16" s="30" t="s">
        <v>55</v>
      </c>
      <c r="G16" s="31" t="s">
        <v>8</v>
      </c>
      <c r="H16" s="31" t="s">
        <v>82</v>
      </c>
      <c r="I16" s="30" t="s">
        <v>55</v>
      </c>
      <c r="J16" s="31" t="s">
        <v>8</v>
      </c>
      <c r="K16" s="31" t="s">
        <v>82</v>
      </c>
      <c r="L16" s="30" t="s">
        <v>55</v>
      </c>
      <c r="M16" s="31" t="s">
        <v>8</v>
      </c>
      <c r="N16" s="31" t="s">
        <v>82</v>
      </c>
      <c r="O16" s="32" t="s">
        <v>99</v>
      </c>
      <c r="Q16" s="39"/>
    </row>
    <row r="17" ht="39.6" outlineLevel="1" spans="1:15">
      <c r="A17" s="31" t="s">
        <v>253</v>
      </c>
      <c r="B17" s="31" t="s">
        <v>254</v>
      </c>
      <c r="C17" s="31" t="s">
        <v>255</v>
      </c>
      <c r="D17" s="31" t="s">
        <v>256</v>
      </c>
      <c r="E17" s="31" t="s">
        <v>33</v>
      </c>
      <c r="F17" s="30" t="s">
        <v>55</v>
      </c>
      <c r="G17" s="32" t="s">
        <v>8</v>
      </c>
      <c r="H17" s="32" t="s">
        <v>82</v>
      </c>
      <c r="I17" s="30" t="s">
        <v>55</v>
      </c>
      <c r="J17" s="32" t="s">
        <v>8</v>
      </c>
      <c r="K17" s="32" t="s">
        <v>82</v>
      </c>
      <c r="L17" s="30" t="s">
        <v>55</v>
      </c>
      <c r="M17" s="32" t="s">
        <v>8</v>
      </c>
      <c r="N17" s="32" t="s">
        <v>82</v>
      </c>
      <c r="O17" s="32" t="s">
        <v>257</v>
      </c>
    </row>
    <row r="18" s="1" customFormat="1" ht="15.75" customHeight="1" spans="1:17">
      <c r="A18" s="29" t="s">
        <v>258</v>
      </c>
      <c r="B18" s="29" t="s">
        <v>254</v>
      </c>
      <c r="C18" s="29" t="s">
        <v>259</v>
      </c>
      <c r="D18" s="29" t="s">
        <v>256</v>
      </c>
      <c r="E18" s="29" t="s">
        <v>33</v>
      </c>
      <c r="F18" s="30" t="s">
        <v>55</v>
      </c>
      <c r="G18" s="29" t="s">
        <v>8</v>
      </c>
      <c r="H18" s="29" t="s">
        <v>82</v>
      </c>
      <c r="I18" s="30" t="s">
        <v>55</v>
      </c>
      <c r="J18" s="29" t="s">
        <v>8</v>
      </c>
      <c r="K18" s="29" t="s">
        <v>82</v>
      </c>
      <c r="L18" s="30" t="s">
        <v>55</v>
      </c>
      <c r="M18" s="29" t="s">
        <v>8</v>
      </c>
      <c r="N18" s="29" t="s">
        <v>82</v>
      </c>
      <c r="O18" s="29" t="s">
        <v>260</v>
      </c>
      <c r="Q18" s="38"/>
    </row>
    <row r="19" ht="39.6" outlineLevel="1" spans="1:17">
      <c r="A19" s="31" t="s">
        <v>261</v>
      </c>
      <c r="B19" s="31" t="s">
        <v>262</v>
      </c>
      <c r="C19" s="31" t="s">
        <v>263</v>
      </c>
      <c r="D19" s="31" t="s">
        <v>264</v>
      </c>
      <c r="E19" s="31" t="s">
        <v>33</v>
      </c>
      <c r="F19" s="30" t="s">
        <v>55</v>
      </c>
      <c r="G19" s="31" t="s">
        <v>8</v>
      </c>
      <c r="H19" s="31" t="s">
        <v>82</v>
      </c>
      <c r="I19" s="30" t="s">
        <v>55</v>
      </c>
      <c r="J19" s="31" t="s">
        <v>8</v>
      </c>
      <c r="K19" s="31" t="s">
        <v>82</v>
      </c>
      <c r="L19" s="30" t="s">
        <v>55</v>
      </c>
      <c r="M19" s="31" t="s">
        <v>8</v>
      </c>
      <c r="N19" s="31" t="s">
        <v>82</v>
      </c>
      <c r="O19" s="32" t="s">
        <v>257</v>
      </c>
      <c r="Q19" s="39"/>
    </row>
    <row r="20" ht="39.6" spans="1:15">
      <c r="A20" s="33" t="s">
        <v>265</v>
      </c>
      <c r="B20" s="33" t="s">
        <v>262</v>
      </c>
      <c r="C20" s="33" t="s">
        <v>266</v>
      </c>
      <c r="D20" s="33" t="s">
        <v>264</v>
      </c>
      <c r="E20" s="33" t="s">
        <v>33</v>
      </c>
      <c r="F20" s="34" t="s">
        <v>55</v>
      </c>
      <c r="G20" s="33" t="s">
        <v>8</v>
      </c>
      <c r="H20" s="33" t="s">
        <v>82</v>
      </c>
      <c r="I20" s="34" t="s">
        <v>55</v>
      </c>
      <c r="J20" s="33" t="s">
        <v>8</v>
      </c>
      <c r="K20" s="33" t="s">
        <v>82</v>
      </c>
      <c r="L20" s="34" t="s">
        <v>55</v>
      </c>
      <c r="M20" s="33" t="s">
        <v>8</v>
      </c>
      <c r="N20" s="33" t="s">
        <v>82</v>
      </c>
      <c r="O20" s="33" t="s">
        <v>260</v>
      </c>
    </row>
    <row r="21" ht="39.6" spans="1:15">
      <c r="A21" s="33" t="s">
        <v>267</v>
      </c>
      <c r="B21" s="33" t="s">
        <v>268</v>
      </c>
      <c r="C21" s="33" t="s">
        <v>269</v>
      </c>
      <c r="D21" s="33" t="s">
        <v>270</v>
      </c>
      <c r="E21" s="33" t="s">
        <v>33</v>
      </c>
      <c r="F21" s="34" t="s">
        <v>55</v>
      </c>
      <c r="G21" s="33" t="s">
        <v>8</v>
      </c>
      <c r="H21" s="33" t="s">
        <v>82</v>
      </c>
      <c r="I21" s="34" t="s">
        <v>55</v>
      </c>
      <c r="J21" s="33" t="s">
        <v>8</v>
      </c>
      <c r="K21" s="33" t="s">
        <v>82</v>
      </c>
      <c r="L21" s="34" t="s">
        <v>55</v>
      </c>
      <c r="M21" s="33" t="s">
        <v>8</v>
      </c>
      <c r="N21" s="33" t="s">
        <v>82</v>
      </c>
      <c r="O21" s="33" t="s">
        <v>99</v>
      </c>
    </row>
    <row r="22" ht="39.6" spans="1:15">
      <c r="A22" s="33" t="s">
        <v>271</v>
      </c>
      <c r="B22" s="33" t="s">
        <v>268</v>
      </c>
      <c r="C22" s="33" t="s">
        <v>272</v>
      </c>
      <c r="D22" s="33" t="s">
        <v>270</v>
      </c>
      <c r="E22" s="33" t="s">
        <v>33</v>
      </c>
      <c r="F22" s="34" t="s">
        <v>55</v>
      </c>
      <c r="G22" s="33" t="s">
        <v>8</v>
      </c>
      <c r="H22" s="33" t="s">
        <v>82</v>
      </c>
      <c r="I22" s="34" t="s">
        <v>55</v>
      </c>
      <c r="J22" s="33" t="s">
        <v>8</v>
      </c>
      <c r="K22" s="33" t="s">
        <v>82</v>
      </c>
      <c r="L22" s="34" t="s">
        <v>55</v>
      </c>
      <c r="M22" s="33" t="s">
        <v>8</v>
      </c>
      <c r="N22" s="33" t="s">
        <v>82</v>
      </c>
      <c r="O22" s="33" t="s">
        <v>108</v>
      </c>
    </row>
    <row r="23" ht="39.6" spans="1:15">
      <c r="A23" s="33" t="s">
        <v>273</v>
      </c>
      <c r="B23" s="33" t="s">
        <v>274</v>
      </c>
      <c r="C23" s="33" t="s">
        <v>275</v>
      </c>
      <c r="D23" s="33" t="s">
        <v>276</v>
      </c>
      <c r="E23" s="33" t="s">
        <v>33</v>
      </c>
      <c r="F23" s="34" t="s">
        <v>55</v>
      </c>
      <c r="G23" s="33" t="s">
        <v>8</v>
      </c>
      <c r="H23" s="33" t="s">
        <v>82</v>
      </c>
      <c r="I23" s="34" t="s">
        <v>55</v>
      </c>
      <c r="J23" s="33" t="s">
        <v>8</v>
      </c>
      <c r="K23" s="33" t="s">
        <v>82</v>
      </c>
      <c r="L23" s="34" t="s">
        <v>55</v>
      </c>
      <c r="M23" s="33" t="s">
        <v>8</v>
      </c>
      <c r="N23" s="33" t="s">
        <v>82</v>
      </c>
      <c r="O23" s="33" t="s">
        <v>277</v>
      </c>
    </row>
    <row r="24" ht="39.6" spans="1:15">
      <c r="A24" s="33" t="s">
        <v>278</v>
      </c>
      <c r="B24" s="33" t="s">
        <v>274</v>
      </c>
      <c r="C24" s="33" t="s">
        <v>279</v>
      </c>
      <c r="D24" s="33" t="s">
        <v>276</v>
      </c>
      <c r="E24" s="33" t="s">
        <v>33</v>
      </c>
      <c r="F24" s="34" t="s">
        <v>55</v>
      </c>
      <c r="G24" s="33" t="s">
        <v>8</v>
      </c>
      <c r="H24" s="33" t="s">
        <v>82</v>
      </c>
      <c r="I24" s="34" t="s">
        <v>55</v>
      </c>
      <c r="J24" s="33" t="s">
        <v>8</v>
      </c>
      <c r="K24" s="33" t="s">
        <v>82</v>
      </c>
      <c r="L24" s="34" t="s">
        <v>55</v>
      </c>
      <c r="M24" s="33" t="s">
        <v>8</v>
      </c>
      <c r="N24" s="33" t="s">
        <v>82</v>
      </c>
      <c r="O24" s="33" t="s">
        <v>280</v>
      </c>
    </row>
  </sheetData>
  <mergeCells count="3">
    <mergeCell ref="B2:E2"/>
    <mergeCell ref="B3:E3"/>
    <mergeCell ref="B4:E4"/>
  </mergeCells>
  <pageMargins left="0.747916666666667" right="0.25" top="0.75" bottom="0.984027777777778" header="0.5" footer="0.5"/>
  <pageSetup paperSize="9" firstPageNumber="0" orientation="landscape" useFirstPageNumber="1" horizontalDpi="300" verticalDpi="3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3"/>
  <sheetViews>
    <sheetView topLeftCell="A13" workbookViewId="0">
      <selection activeCell="H6" sqref="H6"/>
    </sheetView>
  </sheetViews>
  <sheetFormatPr defaultColWidth="9" defaultRowHeight="13.2"/>
  <cols>
    <col min="1" max="1" width="25.8888888888889" style="3" customWidth="1"/>
    <col min="2" max="2" width="21.2222222222222" style="3" customWidth="1"/>
    <col min="3" max="3" width="20" style="3" customWidth="1"/>
    <col min="4" max="4" width="85.1111111111111" style="3" customWidth="1"/>
    <col min="5" max="5" width="29.6666666666667" style="3" customWidth="1"/>
    <col min="6" max="6" width="8.77777777777778" style="3" customWidth="1"/>
    <col min="7" max="7" width="10.1111111111111" style="3" customWidth="1" outlineLevel="1"/>
    <col min="8" max="8" width="15.1111111111111" style="3" customWidth="1" outlineLevel="1"/>
    <col min="9" max="9" width="8.77777777777778" style="3" customWidth="1"/>
    <col min="10" max="10" width="10.1111111111111" style="3" customWidth="1" outlineLevel="1"/>
    <col min="11" max="11" width="15.1111111111111" style="3" customWidth="1" outlineLevel="1"/>
    <col min="12" max="12" width="8.77777777777778" style="3" customWidth="1"/>
    <col min="13" max="13" width="10.1111111111111" style="3" customWidth="1" outlineLevel="1"/>
    <col min="14" max="14" width="15.1111111111111" style="3" customWidth="1" outlineLevel="1"/>
    <col min="15" max="15" width="28.7777777777778" style="3" customWidth="1"/>
    <col min="16" max="16" width="10.1296296296296" style="3" customWidth="1"/>
    <col min="17" max="17" width="8.12962962962963" style="4" customWidth="1"/>
    <col min="18" max="18" width="7.66666666666667" style="3" hidden="1" customWidth="1"/>
    <col min="19" max="16384" width="9" style="3" customWidth="1"/>
  </cols>
  <sheetData>
    <row r="1" ht="13.95" customHeight="1"/>
    <row r="2" s="1" customFormat="1" ht="15" customHeight="1" spans="1:18">
      <c r="A2" s="5" t="s">
        <v>63</v>
      </c>
      <c r="B2" s="6" t="s">
        <v>47</v>
      </c>
      <c r="C2" s="7"/>
      <c r="D2" s="7"/>
      <c r="E2" s="8"/>
      <c r="F2" s="9"/>
      <c r="G2" s="10"/>
      <c r="H2" s="11"/>
      <c r="I2" s="9"/>
      <c r="J2" s="10"/>
      <c r="K2" s="11"/>
      <c r="L2" s="9"/>
      <c r="M2" s="10"/>
      <c r="N2" s="11"/>
      <c r="O2" s="11"/>
      <c r="P2" s="11"/>
      <c r="Q2" s="35"/>
      <c r="R2" s="1" t="s">
        <v>55</v>
      </c>
    </row>
    <row r="3" s="1" customFormat="1" spans="1:18">
      <c r="A3" s="12" t="s">
        <v>64</v>
      </c>
      <c r="B3" s="13" t="s">
        <v>48</v>
      </c>
      <c r="C3" s="14"/>
      <c r="D3" s="14"/>
      <c r="E3" s="15"/>
      <c r="F3" s="9"/>
      <c r="G3" s="10"/>
      <c r="H3" s="11"/>
      <c r="I3" s="9"/>
      <c r="J3" s="10"/>
      <c r="K3" s="11"/>
      <c r="L3" s="9"/>
      <c r="M3" s="10"/>
      <c r="N3" s="11"/>
      <c r="O3" s="11"/>
      <c r="P3" s="11"/>
      <c r="Q3" s="35"/>
      <c r="R3" s="1" t="s">
        <v>56</v>
      </c>
    </row>
    <row r="4" s="1" customFormat="1" ht="18" customHeight="1" spans="1:18">
      <c r="A4" s="12" t="s">
        <v>65</v>
      </c>
      <c r="B4" s="13">
        <f>COUNTA(A11:A23)</f>
        <v>13</v>
      </c>
      <c r="C4" s="14"/>
      <c r="D4" s="14"/>
      <c r="E4" s="15"/>
      <c r="F4" s="9"/>
      <c r="G4" s="10"/>
      <c r="H4" s="11"/>
      <c r="I4" s="9"/>
      <c r="J4" s="10"/>
      <c r="K4" s="11"/>
      <c r="L4" s="9"/>
      <c r="M4" s="10"/>
      <c r="N4" s="11"/>
      <c r="O4" s="11"/>
      <c r="P4" s="11"/>
      <c r="Q4" s="35"/>
      <c r="R4" s="1" t="s">
        <v>57</v>
      </c>
    </row>
    <row r="5" s="1" customFormat="1" ht="19.5" customHeight="1" spans="1:18">
      <c r="A5" s="16" t="s">
        <v>66</v>
      </c>
      <c r="B5" s="17" t="s">
        <v>55</v>
      </c>
      <c r="C5" s="17" t="s">
        <v>56</v>
      </c>
      <c r="D5" s="17" t="s">
        <v>57</v>
      </c>
      <c r="E5" s="18" t="s">
        <v>58</v>
      </c>
      <c r="F5" s="19"/>
      <c r="G5" s="19"/>
      <c r="H5" s="20"/>
      <c r="I5" s="19"/>
      <c r="J5" s="19"/>
      <c r="K5" s="20"/>
      <c r="L5" s="19"/>
      <c r="M5" s="19"/>
      <c r="N5" s="20"/>
      <c r="O5" s="20"/>
      <c r="P5" s="20"/>
      <c r="Q5" s="36"/>
      <c r="R5" s="1" t="s">
        <v>58</v>
      </c>
    </row>
    <row r="6" s="1" customFormat="1" ht="15" customHeight="1" spans="1:17">
      <c r="A6" s="16" t="s">
        <v>67</v>
      </c>
      <c r="B6" s="21">
        <f>COUNTIF($F11:$F23,"Passed")</f>
        <v>13</v>
      </c>
      <c r="C6" s="21">
        <f>COUNTIF($F11:$F23,"Failed")</f>
        <v>0</v>
      </c>
      <c r="D6" s="21">
        <f>COUNTIF($F11:$F23,"Pending")</f>
        <v>0</v>
      </c>
      <c r="E6" s="22">
        <f>COUNTIF($F11:$F23,"N/A")</f>
        <v>0</v>
      </c>
      <c r="F6" s="23"/>
      <c r="G6" s="23"/>
      <c r="H6" s="20"/>
      <c r="I6" s="23"/>
      <c r="J6" s="23"/>
      <c r="K6" s="20"/>
      <c r="L6" s="23"/>
      <c r="M6" s="23"/>
      <c r="N6" s="20"/>
      <c r="O6" s="20"/>
      <c r="P6" s="20"/>
      <c r="Q6" s="36"/>
    </row>
    <row r="7" s="1" customFormat="1" ht="15" customHeight="1" spans="1:17">
      <c r="A7" s="16" t="s">
        <v>68</v>
      </c>
      <c r="B7" s="21">
        <f>COUNTIF($F11:$F23,"Passed")</f>
        <v>13</v>
      </c>
      <c r="C7" s="21">
        <f>COUNTIF($F11:$F23,"Failed")</f>
        <v>0</v>
      </c>
      <c r="D7" s="21">
        <f>COUNTIF($F11:$F23,"Pending")</f>
        <v>0</v>
      </c>
      <c r="E7" s="22">
        <f>COUNTIF($F11:$F23,"N/A")</f>
        <v>0</v>
      </c>
      <c r="F7" s="23"/>
      <c r="G7" s="23"/>
      <c r="H7" s="20"/>
      <c r="I7" s="23"/>
      <c r="J7" s="23"/>
      <c r="K7" s="20"/>
      <c r="L7" s="23"/>
      <c r="M7" s="23"/>
      <c r="N7" s="20"/>
      <c r="O7" s="20"/>
      <c r="P7" s="20"/>
      <c r="Q7" s="36"/>
    </row>
    <row r="8" s="1" customFormat="1" ht="15" customHeight="1" spans="1:17">
      <c r="A8" s="24" t="s">
        <v>69</v>
      </c>
      <c r="B8" s="25">
        <f>COUNTIF($F11:$F23,"Passed")</f>
        <v>13</v>
      </c>
      <c r="C8" s="25">
        <f>COUNTIF($F11:$F23,"Failed")</f>
        <v>0</v>
      </c>
      <c r="D8" s="25">
        <f>COUNTIF($F11:$F23,"Pending")</f>
        <v>0</v>
      </c>
      <c r="E8" s="26">
        <f>COUNTIF($F11:$F23,"N/A")</f>
        <v>0</v>
      </c>
      <c r="F8" s="23"/>
      <c r="G8" s="23"/>
      <c r="H8" s="20"/>
      <c r="I8" s="23"/>
      <c r="J8" s="23"/>
      <c r="K8" s="20"/>
      <c r="L8" s="23"/>
      <c r="M8" s="23"/>
      <c r="N8" s="20"/>
      <c r="O8" s="20"/>
      <c r="P8" s="20"/>
      <c r="Q8" s="36"/>
    </row>
    <row r="9" s="1" customFormat="1" ht="15" customHeight="1" spans="1:17">
      <c r="A9" s="20"/>
      <c r="B9" s="20"/>
      <c r="C9" s="20"/>
      <c r="D9" s="20"/>
      <c r="E9" s="20"/>
      <c r="F9" s="27"/>
      <c r="G9" s="20"/>
      <c r="H9" s="20"/>
      <c r="I9" s="27"/>
      <c r="J9" s="20"/>
      <c r="K9" s="20"/>
      <c r="L9" s="27"/>
      <c r="M9" s="20"/>
      <c r="N9" s="20"/>
      <c r="O9" s="20"/>
      <c r="P9" s="20"/>
      <c r="Q9" s="36"/>
    </row>
    <row r="10" s="1" customFormat="1" ht="25.5" customHeight="1" spans="1:17">
      <c r="A10" s="28" t="s">
        <v>70</v>
      </c>
      <c r="B10" s="28" t="s">
        <v>71</v>
      </c>
      <c r="C10" s="28" t="s">
        <v>72</v>
      </c>
      <c r="D10" s="28" t="s">
        <v>73</v>
      </c>
      <c r="E10" s="28" t="s">
        <v>74</v>
      </c>
      <c r="F10" s="28" t="s">
        <v>67</v>
      </c>
      <c r="G10" s="28" t="s">
        <v>75</v>
      </c>
      <c r="H10" s="28" t="s">
        <v>76</v>
      </c>
      <c r="I10" s="28" t="s">
        <v>68</v>
      </c>
      <c r="J10" s="28" t="s">
        <v>75</v>
      </c>
      <c r="K10" s="28" t="s">
        <v>76</v>
      </c>
      <c r="L10" s="28" t="s">
        <v>69</v>
      </c>
      <c r="M10" s="28" t="s">
        <v>75</v>
      </c>
      <c r="N10" s="28" t="s">
        <v>76</v>
      </c>
      <c r="O10" s="28" t="s">
        <v>77</v>
      </c>
      <c r="Q10" s="37"/>
    </row>
    <row r="11" s="1" customFormat="1" ht="15.75" customHeight="1" spans="1:17">
      <c r="A11" s="29" t="s">
        <v>281</v>
      </c>
      <c r="B11" s="29" t="s">
        <v>282</v>
      </c>
      <c r="C11" s="29" t="s">
        <v>283</v>
      </c>
      <c r="D11" s="29" t="s">
        <v>284</v>
      </c>
      <c r="E11" s="29" t="s">
        <v>33</v>
      </c>
      <c r="F11" s="30" t="s">
        <v>55</v>
      </c>
      <c r="G11" s="29" t="s">
        <v>8</v>
      </c>
      <c r="H11" s="29" t="s">
        <v>82</v>
      </c>
      <c r="I11" s="30" t="s">
        <v>55</v>
      </c>
      <c r="J11" s="29" t="s">
        <v>8</v>
      </c>
      <c r="K11" s="29" t="s">
        <v>82</v>
      </c>
      <c r="L11" s="30" t="s">
        <v>55</v>
      </c>
      <c r="M11" s="29" t="s">
        <v>8</v>
      </c>
      <c r="N11" s="29" t="s">
        <v>82</v>
      </c>
      <c r="O11" s="29" t="s">
        <v>277</v>
      </c>
      <c r="Q11" s="38"/>
    </row>
    <row r="12" s="2" customFormat="1" ht="121.05" customHeight="1" outlineLevel="1" spans="1:17">
      <c r="A12" s="31" t="s">
        <v>285</v>
      </c>
      <c r="B12" s="31" t="s">
        <v>282</v>
      </c>
      <c r="C12" s="31" t="s">
        <v>286</v>
      </c>
      <c r="D12" s="32" t="s">
        <v>284</v>
      </c>
      <c r="E12" s="32" t="s">
        <v>33</v>
      </c>
      <c r="F12" s="30" t="s">
        <v>55</v>
      </c>
      <c r="G12" s="31" t="s">
        <v>8</v>
      </c>
      <c r="H12" s="31" t="s">
        <v>82</v>
      </c>
      <c r="I12" s="30" t="s">
        <v>55</v>
      </c>
      <c r="J12" s="31" t="s">
        <v>8</v>
      </c>
      <c r="K12" s="31" t="s">
        <v>82</v>
      </c>
      <c r="L12" s="30" t="s">
        <v>55</v>
      </c>
      <c r="M12" s="31" t="s">
        <v>8</v>
      </c>
      <c r="N12" s="31" t="s">
        <v>82</v>
      </c>
      <c r="O12" s="32" t="s">
        <v>277</v>
      </c>
      <c r="Q12" s="39"/>
    </row>
    <row r="13" ht="39.6" outlineLevel="1" spans="1:17">
      <c r="A13" s="31" t="s">
        <v>287</v>
      </c>
      <c r="B13" s="31" t="s">
        <v>282</v>
      </c>
      <c r="C13" s="31" t="s">
        <v>288</v>
      </c>
      <c r="D13" s="32" t="s">
        <v>284</v>
      </c>
      <c r="E13" s="32" t="s">
        <v>33</v>
      </c>
      <c r="F13" s="30" t="s">
        <v>55</v>
      </c>
      <c r="G13" s="31" t="s">
        <v>8</v>
      </c>
      <c r="H13" s="31" t="s">
        <v>82</v>
      </c>
      <c r="I13" s="30" t="s">
        <v>55</v>
      </c>
      <c r="J13" s="31" t="s">
        <v>8</v>
      </c>
      <c r="K13" s="31" t="s">
        <v>82</v>
      </c>
      <c r="L13" s="30" t="s">
        <v>55</v>
      </c>
      <c r="M13" s="31" t="s">
        <v>8</v>
      </c>
      <c r="N13" s="31" t="s">
        <v>82</v>
      </c>
      <c r="O13" s="32" t="s">
        <v>277</v>
      </c>
      <c r="Q13" s="39"/>
    </row>
    <row r="14" ht="39.6" outlineLevel="1" spans="1:17">
      <c r="A14" s="31" t="s">
        <v>289</v>
      </c>
      <c r="B14" s="31" t="s">
        <v>282</v>
      </c>
      <c r="C14" s="31" t="s">
        <v>279</v>
      </c>
      <c r="D14" s="32" t="s">
        <v>290</v>
      </c>
      <c r="E14" s="32" t="s">
        <v>33</v>
      </c>
      <c r="F14" s="30" t="s">
        <v>55</v>
      </c>
      <c r="G14" s="31" t="s">
        <v>8</v>
      </c>
      <c r="H14" s="31" t="s">
        <v>82</v>
      </c>
      <c r="I14" s="30" t="s">
        <v>55</v>
      </c>
      <c r="J14" s="31" t="s">
        <v>8</v>
      </c>
      <c r="K14" s="31" t="s">
        <v>82</v>
      </c>
      <c r="L14" s="30" t="s">
        <v>55</v>
      </c>
      <c r="M14" s="31" t="s">
        <v>8</v>
      </c>
      <c r="N14" s="31" t="s">
        <v>82</v>
      </c>
      <c r="O14" s="32" t="s">
        <v>280</v>
      </c>
      <c r="Q14" s="39"/>
    </row>
    <row r="15" s="1" customFormat="1" ht="15.75" customHeight="1" spans="1:17">
      <c r="A15" s="29" t="s">
        <v>291</v>
      </c>
      <c r="B15" s="29" t="s">
        <v>282</v>
      </c>
      <c r="C15" s="29" t="s">
        <v>292</v>
      </c>
      <c r="D15" s="29" t="s">
        <v>290</v>
      </c>
      <c r="E15" s="29" t="s">
        <v>33</v>
      </c>
      <c r="F15" s="30" t="s">
        <v>55</v>
      </c>
      <c r="G15" s="29" t="s">
        <v>8</v>
      </c>
      <c r="H15" s="29" t="s">
        <v>82</v>
      </c>
      <c r="I15" s="30" t="s">
        <v>55</v>
      </c>
      <c r="J15" s="29" t="s">
        <v>8</v>
      </c>
      <c r="K15" s="29" t="s">
        <v>82</v>
      </c>
      <c r="L15" s="30" t="s">
        <v>55</v>
      </c>
      <c r="M15" s="29" t="s">
        <v>8</v>
      </c>
      <c r="N15" s="29" t="s">
        <v>82</v>
      </c>
      <c r="O15" s="29" t="s">
        <v>280</v>
      </c>
      <c r="Q15" s="38"/>
    </row>
    <row r="16" ht="39.6" outlineLevel="1" spans="1:17">
      <c r="A16" s="31" t="s">
        <v>293</v>
      </c>
      <c r="B16" s="31" t="s">
        <v>294</v>
      </c>
      <c r="C16" s="31" t="s">
        <v>295</v>
      </c>
      <c r="D16" s="31" t="s">
        <v>296</v>
      </c>
      <c r="E16" s="31" t="s">
        <v>33</v>
      </c>
      <c r="F16" s="30" t="s">
        <v>55</v>
      </c>
      <c r="G16" s="31" t="s">
        <v>8</v>
      </c>
      <c r="H16" s="31" t="s">
        <v>82</v>
      </c>
      <c r="I16" s="30" t="s">
        <v>55</v>
      </c>
      <c r="J16" s="31" t="s">
        <v>8</v>
      </c>
      <c r="K16" s="31" t="s">
        <v>82</v>
      </c>
      <c r="L16" s="30" t="s">
        <v>55</v>
      </c>
      <c r="M16" s="31" t="s">
        <v>8</v>
      </c>
      <c r="N16" s="31" t="s">
        <v>82</v>
      </c>
      <c r="O16" s="32" t="s">
        <v>277</v>
      </c>
      <c r="Q16" s="39"/>
    </row>
    <row r="17" ht="39.6" outlineLevel="1" spans="1:15">
      <c r="A17" s="31" t="s">
        <v>297</v>
      </c>
      <c r="B17" s="31" t="s">
        <v>294</v>
      </c>
      <c r="C17" s="31" t="s">
        <v>298</v>
      </c>
      <c r="D17" s="31" t="s">
        <v>299</v>
      </c>
      <c r="E17" s="31" t="s">
        <v>33</v>
      </c>
      <c r="F17" s="30" t="s">
        <v>55</v>
      </c>
      <c r="G17" s="32" t="s">
        <v>8</v>
      </c>
      <c r="H17" s="32" t="s">
        <v>82</v>
      </c>
      <c r="I17" s="30" t="s">
        <v>55</v>
      </c>
      <c r="J17" s="32" t="s">
        <v>8</v>
      </c>
      <c r="K17" s="32" t="s">
        <v>82</v>
      </c>
      <c r="L17" s="30" t="s">
        <v>55</v>
      </c>
      <c r="M17" s="32" t="s">
        <v>8</v>
      </c>
      <c r="N17" s="32" t="s">
        <v>82</v>
      </c>
      <c r="O17" s="32" t="s">
        <v>280</v>
      </c>
    </row>
    <row r="18" s="1" customFormat="1" ht="15.75" customHeight="1" spans="1:17">
      <c r="A18" s="29" t="s">
        <v>300</v>
      </c>
      <c r="B18" s="29" t="s">
        <v>294</v>
      </c>
      <c r="C18" s="29" t="s">
        <v>301</v>
      </c>
      <c r="D18" s="29" t="s">
        <v>299</v>
      </c>
      <c r="E18" s="29" t="s">
        <v>33</v>
      </c>
      <c r="F18" s="30" t="s">
        <v>55</v>
      </c>
      <c r="G18" s="29" t="s">
        <v>8</v>
      </c>
      <c r="H18" s="29" t="s">
        <v>82</v>
      </c>
      <c r="I18" s="30" t="s">
        <v>55</v>
      </c>
      <c r="J18" s="29" t="s">
        <v>8</v>
      </c>
      <c r="K18" s="29" t="s">
        <v>82</v>
      </c>
      <c r="L18" s="30" t="s">
        <v>55</v>
      </c>
      <c r="M18" s="29" t="s">
        <v>8</v>
      </c>
      <c r="N18" s="29" t="s">
        <v>82</v>
      </c>
      <c r="O18" s="29" t="s">
        <v>168</v>
      </c>
      <c r="Q18" s="38"/>
    </row>
    <row r="19" ht="39.6" outlineLevel="1" spans="1:17">
      <c r="A19" s="31" t="s">
        <v>302</v>
      </c>
      <c r="B19" s="31" t="s">
        <v>294</v>
      </c>
      <c r="C19" s="31" t="s">
        <v>303</v>
      </c>
      <c r="D19" s="31" t="s">
        <v>299</v>
      </c>
      <c r="E19" s="31" t="s">
        <v>33</v>
      </c>
      <c r="F19" s="30" t="s">
        <v>55</v>
      </c>
      <c r="G19" s="31" t="s">
        <v>8</v>
      </c>
      <c r="H19" s="31" t="s">
        <v>82</v>
      </c>
      <c r="I19" s="30" t="s">
        <v>55</v>
      </c>
      <c r="J19" s="31" t="s">
        <v>8</v>
      </c>
      <c r="K19" s="31" t="s">
        <v>82</v>
      </c>
      <c r="L19" s="30" t="s">
        <v>55</v>
      </c>
      <c r="M19" s="31" t="s">
        <v>8</v>
      </c>
      <c r="N19" s="31" t="s">
        <v>82</v>
      </c>
      <c r="O19" s="32" t="s">
        <v>168</v>
      </c>
      <c r="Q19" s="39"/>
    </row>
    <row r="20" ht="39.6" spans="1:15">
      <c r="A20" s="33" t="s">
        <v>304</v>
      </c>
      <c r="B20" s="33" t="s">
        <v>305</v>
      </c>
      <c r="C20" s="33" t="s">
        <v>306</v>
      </c>
      <c r="D20" s="33" t="s">
        <v>307</v>
      </c>
      <c r="E20" s="33" t="s">
        <v>33</v>
      </c>
      <c r="F20" s="34" t="s">
        <v>55</v>
      </c>
      <c r="G20" s="33" t="s">
        <v>8</v>
      </c>
      <c r="H20" s="33" t="s">
        <v>82</v>
      </c>
      <c r="I20" s="34" t="s">
        <v>55</v>
      </c>
      <c r="J20" s="33" t="s">
        <v>8</v>
      </c>
      <c r="K20" s="33" t="s">
        <v>82</v>
      </c>
      <c r="L20" s="34" t="s">
        <v>55</v>
      </c>
      <c r="M20" s="33" t="s">
        <v>8</v>
      </c>
      <c r="N20" s="33" t="s">
        <v>82</v>
      </c>
      <c r="O20" s="33" t="s">
        <v>277</v>
      </c>
    </row>
    <row r="21" ht="39.6" spans="1:15">
      <c r="A21" s="33" t="s">
        <v>308</v>
      </c>
      <c r="B21" s="33" t="s">
        <v>305</v>
      </c>
      <c r="C21" s="33" t="s">
        <v>309</v>
      </c>
      <c r="D21" s="33" t="s">
        <v>307</v>
      </c>
      <c r="E21" s="33" t="s">
        <v>33</v>
      </c>
      <c r="F21" s="34" t="s">
        <v>55</v>
      </c>
      <c r="G21" s="33" t="s">
        <v>8</v>
      </c>
      <c r="H21" s="33" t="s">
        <v>82</v>
      </c>
      <c r="I21" s="34" t="s">
        <v>55</v>
      </c>
      <c r="J21" s="33" t="s">
        <v>8</v>
      </c>
      <c r="K21" s="33" t="s">
        <v>82</v>
      </c>
      <c r="L21" s="34" t="s">
        <v>55</v>
      </c>
      <c r="M21" s="33" t="s">
        <v>8</v>
      </c>
      <c r="N21" s="33" t="s">
        <v>82</v>
      </c>
      <c r="O21" s="33" t="s">
        <v>277</v>
      </c>
    </row>
    <row r="22" ht="39.6" spans="1:15">
      <c r="A22" s="33" t="s">
        <v>310</v>
      </c>
      <c r="B22" s="33" t="s">
        <v>305</v>
      </c>
      <c r="C22" s="33" t="s">
        <v>311</v>
      </c>
      <c r="D22" s="33" t="s">
        <v>312</v>
      </c>
      <c r="E22" s="33" t="s">
        <v>33</v>
      </c>
      <c r="F22" s="34" t="s">
        <v>55</v>
      </c>
      <c r="G22" s="33" t="s">
        <v>8</v>
      </c>
      <c r="H22" s="33" t="s">
        <v>82</v>
      </c>
      <c r="I22" s="34" t="s">
        <v>55</v>
      </c>
      <c r="J22" s="33" t="s">
        <v>8</v>
      </c>
      <c r="K22" s="33" t="s">
        <v>82</v>
      </c>
      <c r="L22" s="34" t="s">
        <v>55</v>
      </c>
      <c r="M22" s="33" t="s">
        <v>8</v>
      </c>
      <c r="N22" s="33" t="s">
        <v>82</v>
      </c>
      <c r="O22" s="33" t="s">
        <v>280</v>
      </c>
    </row>
    <row r="23" ht="39.6" spans="1:15">
      <c r="A23" s="33" t="s">
        <v>313</v>
      </c>
      <c r="B23" s="33" t="s">
        <v>305</v>
      </c>
      <c r="C23" s="33" t="s">
        <v>314</v>
      </c>
      <c r="D23" s="33" t="s">
        <v>312</v>
      </c>
      <c r="E23" s="33" t="s">
        <v>33</v>
      </c>
      <c r="F23" s="34" t="s">
        <v>55</v>
      </c>
      <c r="G23" s="33" t="s">
        <v>8</v>
      </c>
      <c r="H23" s="33" t="s">
        <v>82</v>
      </c>
      <c r="I23" s="34" t="s">
        <v>55</v>
      </c>
      <c r="J23" s="33" t="s">
        <v>8</v>
      </c>
      <c r="K23" s="33" t="s">
        <v>82</v>
      </c>
      <c r="L23" s="34" t="s">
        <v>55</v>
      </c>
      <c r="M23" s="33" t="s">
        <v>8</v>
      </c>
      <c r="N23" s="33" t="s">
        <v>82</v>
      </c>
      <c r="O23" s="33" t="s">
        <v>280</v>
      </c>
    </row>
  </sheetData>
  <mergeCells count="3">
    <mergeCell ref="B2:E2"/>
    <mergeCell ref="B3:E3"/>
    <mergeCell ref="B4:E4"/>
  </mergeCells>
  <pageMargins left="0.747916666666667" right="0.25" top="0.75" bottom="0.984027777777778" header="0.5" footer="0.5"/>
  <pageSetup paperSize="9" firstPageNumber="0" orientation="landscape" useFirstPageNumber="1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</vt:lpstr>
      <vt:lpstr>Test Cases</vt:lpstr>
      <vt:lpstr>Test Statistics</vt:lpstr>
      <vt:lpstr>TSAuthentication</vt:lpstr>
      <vt:lpstr>TSUserManagement</vt:lpstr>
      <vt:lpstr>TSBookManagement</vt:lpstr>
      <vt:lpstr>TSDeskCirculation</vt:lpstr>
      <vt:lpstr>TSBookDiscovery</vt:lpstr>
      <vt:lpstr>TSSelfService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
Add sheet Test Case List.
Change Sheet Company, User, Provider to Modules. Add column Inter-test case dependent. Update these sheets.
Update Test Report</dc:description>
  <cp:lastModifiedBy>Lê Thế Bảo</cp:lastModifiedBy>
  <dcterms:created xsi:type="dcterms:W3CDTF">2020-03-17T17:34:00Z</dcterms:created>
  <cp:lastPrinted>2010-11-12T10:33:00Z</cp:lastPrinted>
  <dcterms:modified xsi:type="dcterms:W3CDTF">2026-07-24T12:53:14Z</dcterms:modified>
  <cp:category>BM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6A2BA1A3F4824955B3CB105C36A76C73_12</vt:lpwstr>
  </property>
  <property fmtid="{D5CDD505-2E9C-101B-9397-08002B2CF9AE}" pid="3" name="KSOProductBuildVer">
    <vt:lpwstr>1033-12.2.0.23206</vt:lpwstr>
  </property>
</Properties>
</file>